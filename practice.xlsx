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EXCEL\"/>
    </mc:Choice>
  </mc:AlternateContent>
  <xr:revisionPtr revIDLastSave="0" documentId="13_ncr:1_{5DAA2F26-65E0-4DAF-A53F-3B441955DF6A}" xr6:coauthVersionLast="47" xr6:coauthVersionMax="47" xr10:uidLastSave="{00000000-0000-0000-0000-000000000000}"/>
  <bookViews>
    <workbookView xWindow="-108" yWindow="-108" windowWidth="23256" windowHeight="13896" firstSheet="8" activeTab="13" xr2:uid="{E1B4CA2A-19ED-4967-95B4-D4C9D22840C2}"/>
  </bookViews>
  <sheets>
    <sheet name="conditional statement" sheetId="2" r:id="rId1"/>
    <sheet name="data cleaning" sheetId="3" r:id="rId2"/>
    <sheet name="lookup" sheetId="4" r:id="rId3"/>
    <sheet name="TASK 1 LOOKUP" sheetId="6" r:id="rId4"/>
    <sheet name="TASK 2 LOOKUP" sheetId="7" r:id="rId5"/>
    <sheet name="TASK 3 LOOKUP" sheetId="8" r:id="rId6"/>
    <sheet name="TASK 3.1 " sheetId="9" r:id="rId7"/>
    <sheet name="TASK 4 " sheetId="11" r:id="rId8"/>
    <sheet name="TASK 4.1 REF DATA" sheetId="12" r:id="rId9"/>
    <sheet name="TASK 4 FINAL DATA " sheetId="13" r:id="rId10"/>
    <sheet name="TASK 5" sheetId="14" r:id="rId11"/>
    <sheet name="TASK 5.1" sheetId="15" r:id="rId12"/>
    <sheet name="index match" sheetId="16" r:id="rId13"/>
    <sheet name="SORT-SORTBY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B23" i="17" a="1"/>
  <c r="B23" i="17" s="1"/>
  <c r="E19" i="17"/>
  <c r="F5" i="17"/>
  <c r="F6" i="17"/>
  <c r="F7" i="17"/>
  <c r="F8" i="17"/>
  <c r="F9" i="17"/>
  <c r="F10" i="17"/>
  <c r="F4" i="17"/>
  <c r="Y58" i="17"/>
  <c r="M40" i="17" a="1"/>
  <c r="M40" i="17" s="1"/>
  <c r="M31" i="17" a="1"/>
  <c r="M31" i="17" s="1"/>
  <c r="M20" i="17" a="1"/>
  <c r="M20" i="17" s="1"/>
  <c r="M12" i="17" a="1"/>
  <c r="M12" i="17" s="1"/>
  <c r="M4" i="17" a="1"/>
  <c r="M4" i="17" s="1"/>
  <c r="O27" i="16"/>
  <c r="O26" i="16"/>
  <c r="O23" i="16"/>
  <c r="O21" i="16"/>
  <c r="O8" i="16"/>
  <c r="O6" i="16"/>
  <c r="O4" i="16"/>
  <c r="O2" i="16"/>
  <c r="E3" i="15"/>
  <c r="E4" i="15"/>
  <c r="E5" i="15"/>
  <c r="E6" i="15"/>
  <c r="E2" i="15"/>
  <c r="C2" i="15"/>
  <c r="C3" i="15"/>
  <c r="C4" i="15"/>
  <c r="C5" i="15"/>
  <c r="C6" i="15"/>
  <c r="D4" i="13"/>
  <c r="D2" i="13"/>
  <c r="D3" i="13"/>
  <c r="C3" i="13"/>
  <c r="C4" i="13"/>
  <c r="C2" i="13"/>
  <c r="C3" i="9" a="1"/>
  <c r="C3" i="9" s="1"/>
  <c r="C4" i="9" a="1"/>
  <c r="C4" i="9" s="1"/>
  <c r="C2" i="9" a="1"/>
  <c r="C2" i="9" s="1"/>
  <c r="G7" i="7"/>
  <c r="G6" i="7"/>
  <c r="G5" i="7"/>
  <c r="G4" i="7"/>
  <c r="G3" i="7"/>
  <c r="I11" i="6"/>
  <c r="I12" i="6"/>
  <c r="I13" i="6"/>
  <c r="I14" i="6"/>
  <c r="I10" i="6"/>
  <c r="I9" i="6"/>
  <c r="I8" i="6"/>
  <c r="I7" i="6"/>
  <c r="I4" i="6"/>
  <c r="I3" i="6"/>
  <c r="L28" i="4" a="1"/>
  <c r="L28" i="4" s="1"/>
  <c r="L29" i="4" a="1"/>
  <c r="L29" i="4" s="1"/>
  <c r="L27" i="4" a="1"/>
  <c r="L27" i="4" s="1"/>
  <c r="J29" i="4"/>
  <c r="J30" i="4"/>
  <c r="J28" i="4"/>
  <c r="J27" i="4"/>
  <c r="J26" i="4"/>
  <c r="J17" i="4"/>
  <c r="J16" i="4"/>
  <c r="J21" i="4"/>
  <c r="J20" i="4"/>
  <c r="J19" i="4"/>
  <c r="J18" i="4"/>
  <c r="J5" i="4"/>
  <c r="J6" i="4"/>
  <c r="J7" i="4"/>
  <c r="J8" i="4"/>
  <c r="J4" i="4"/>
  <c r="AE3" i="3"/>
  <c r="AE4" i="3"/>
  <c r="AE5" i="3"/>
  <c r="AE6" i="3"/>
  <c r="AE7" i="3"/>
  <c r="AE2" i="3"/>
  <c r="AD3" i="3"/>
  <c r="AD4" i="3"/>
  <c r="AD5" i="3"/>
  <c r="AD6" i="3"/>
  <c r="AD7" i="3"/>
  <c r="AD2" i="3"/>
  <c r="D76" i="3"/>
  <c r="AB3" i="3"/>
  <c r="AB4" i="3"/>
  <c r="AB5" i="3"/>
  <c r="AB6" i="3"/>
  <c r="AB7" i="3"/>
  <c r="AB2" i="3"/>
  <c r="Z3" i="3"/>
  <c r="Z4" i="3"/>
  <c r="Z5" i="3"/>
  <c r="Z6" i="3"/>
  <c r="Z7" i="3"/>
  <c r="Z2" i="3"/>
  <c r="W3" i="3"/>
  <c r="W4" i="3"/>
  <c r="W5" i="3"/>
  <c r="W6" i="3"/>
  <c r="W7" i="3"/>
  <c r="W2" i="3"/>
  <c r="V3" i="3"/>
  <c r="V4" i="3"/>
  <c r="V5" i="3"/>
  <c r="V6" i="3"/>
  <c r="V7" i="3"/>
  <c r="V2" i="3"/>
  <c r="S3" i="3"/>
  <c r="S4" i="3"/>
  <c r="S5" i="3"/>
  <c r="S6" i="3"/>
  <c r="S7" i="3"/>
  <c r="S2" i="3"/>
  <c r="R3" i="3"/>
  <c r="R4" i="3"/>
  <c r="R5" i="3"/>
  <c r="R6" i="3"/>
  <c r="R7" i="3"/>
  <c r="R2" i="3"/>
  <c r="P6" i="3"/>
  <c r="P5" i="3"/>
  <c r="P2" i="3"/>
  <c r="P3" i="3"/>
  <c r="P4" i="3"/>
  <c r="P7" i="3"/>
  <c r="O3" i="3"/>
  <c r="O4" i="3"/>
  <c r="O5" i="3"/>
  <c r="O6" i="3"/>
  <c r="O7" i="3"/>
  <c r="O2" i="3"/>
  <c r="N3" i="3"/>
  <c r="N4" i="3"/>
  <c r="N5" i="3"/>
  <c r="N6" i="3"/>
  <c r="N7" i="3"/>
  <c r="N2" i="3"/>
  <c r="M3" i="3"/>
  <c r="M4" i="3"/>
  <c r="M5" i="3"/>
  <c r="M6" i="3"/>
  <c r="M7" i="3"/>
  <c r="M2" i="3"/>
  <c r="L3" i="3"/>
  <c r="L4" i="3"/>
  <c r="L5" i="3"/>
  <c r="L6" i="3"/>
  <c r="L7" i="3"/>
  <c r="L2" i="3"/>
  <c r="K3" i="3"/>
  <c r="K4" i="3"/>
  <c r="K5" i="3"/>
  <c r="K6" i="3"/>
  <c r="K7" i="3"/>
  <c r="J3" i="3"/>
  <c r="J4" i="3"/>
  <c r="J5" i="3"/>
  <c r="J6" i="3"/>
  <c r="J7" i="3"/>
  <c r="J2" i="3"/>
  <c r="I3" i="3"/>
  <c r="I4" i="3"/>
  <c r="I5" i="3"/>
  <c r="I6" i="3"/>
  <c r="I7" i="3"/>
  <c r="I2" i="3"/>
  <c r="E143" i="2"/>
  <c r="E139" i="2"/>
  <c r="E137" i="2"/>
  <c r="B132" i="2"/>
  <c r="B129" i="2"/>
  <c r="B126" i="2"/>
  <c r="B122" i="2"/>
  <c r="D116" i="2"/>
  <c r="D114" i="2"/>
  <c r="D112" i="2"/>
  <c r="C104" i="2"/>
  <c r="C100" i="2"/>
  <c r="C96" i="2"/>
  <c r="C94" i="2"/>
  <c r="C90" i="2"/>
  <c r="D84" i="2"/>
  <c r="D82" i="2"/>
  <c r="D80" i="2"/>
  <c r="D78" i="2"/>
  <c r="D76" i="2"/>
  <c r="T12" i="2"/>
  <c r="S3" i="2"/>
  <c r="S4" i="2"/>
  <c r="S5" i="2"/>
  <c r="S6" i="2"/>
  <c r="S7" i="2"/>
  <c r="S8" i="2"/>
  <c r="S9" i="2"/>
  <c r="S10" i="2"/>
  <c r="S11" i="2"/>
  <c r="S2" i="2"/>
  <c r="R3" i="2"/>
  <c r="R4" i="2"/>
  <c r="R5" i="2"/>
  <c r="R6" i="2"/>
  <c r="R7" i="2"/>
  <c r="R8" i="2"/>
  <c r="R9" i="2"/>
  <c r="R10" i="2"/>
  <c r="R11" i="2"/>
  <c r="R2" i="2"/>
  <c r="Q3" i="2"/>
  <c r="Q4" i="2"/>
  <c r="Q5" i="2"/>
  <c r="Q6" i="2"/>
  <c r="Q7" i="2"/>
  <c r="Q8" i="2"/>
  <c r="Q9" i="2"/>
  <c r="Q10" i="2"/>
  <c r="Q11" i="2"/>
  <c r="Q2" i="2"/>
  <c r="P3" i="2"/>
  <c r="T3" i="2" s="1"/>
  <c r="P4" i="2"/>
  <c r="T4" i="2" s="1"/>
  <c r="P5" i="2"/>
  <c r="T5" i="2" s="1"/>
  <c r="P6" i="2"/>
  <c r="T6" i="2" s="1"/>
  <c r="P7" i="2"/>
  <c r="T7" i="2" s="1"/>
  <c r="P8" i="2"/>
  <c r="T8" i="2" s="1"/>
  <c r="P9" i="2"/>
  <c r="T9" i="2" s="1"/>
  <c r="P10" i="2"/>
  <c r="T10" i="2" s="1"/>
  <c r="P11" i="2"/>
  <c r="T11" i="2" s="1"/>
  <c r="P2" i="2"/>
  <c r="T2" i="2" s="1"/>
  <c r="O3" i="2"/>
  <c r="O4" i="2"/>
  <c r="O5" i="2"/>
  <c r="O6" i="2"/>
  <c r="O7" i="2"/>
  <c r="O8" i="2"/>
  <c r="O9" i="2"/>
  <c r="O10" i="2"/>
  <c r="O11" i="2"/>
  <c r="O2" i="2"/>
  <c r="N3" i="2"/>
  <c r="N4" i="2"/>
  <c r="N5" i="2"/>
  <c r="N6" i="2"/>
  <c r="N7" i="2"/>
  <c r="N8" i="2"/>
  <c r="N9" i="2"/>
  <c r="N10" i="2"/>
  <c r="N11" i="2"/>
  <c r="N2" i="2"/>
  <c r="M3" i="2"/>
  <c r="M2" i="2"/>
  <c r="M4" i="2"/>
  <c r="M6" i="2"/>
  <c r="M7" i="2"/>
  <c r="M8" i="2"/>
  <c r="M9" i="2"/>
  <c r="M10" i="2"/>
  <c r="M11" i="2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J11" i="2"/>
  <c r="J3" i="2"/>
  <c r="J4" i="2"/>
  <c r="J5" i="2"/>
  <c r="J6" i="2"/>
  <c r="J7" i="2"/>
  <c r="J8" i="2"/>
  <c r="J9" i="2"/>
  <c r="J10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<sst xmlns="http://schemas.openxmlformats.org/spreadsheetml/2006/main" count="557" uniqueCount="331">
  <si>
    <t>Employee_ID</t>
  </si>
  <si>
    <t>Name</t>
  </si>
  <si>
    <t>Department</t>
  </si>
  <si>
    <t>Gender</t>
  </si>
  <si>
    <t>Age</t>
  </si>
  <si>
    <t>Attendance_%</t>
  </si>
  <si>
    <t>Score</t>
  </si>
  <si>
    <t>Sales_Amount</t>
  </si>
  <si>
    <t>Experience_Years</t>
  </si>
  <si>
    <t>E001</t>
  </si>
  <si>
    <t>Anu</t>
  </si>
  <si>
    <t>HR</t>
  </si>
  <si>
    <t>F</t>
  </si>
  <si>
    <t>E002</t>
  </si>
  <si>
    <t>Ravi</t>
  </si>
  <si>
    <t>Sales</t>
  </si>
  <si>
    <t>M</t>
  </si>
  <si>
    <t>E003</t>
  </si>
  <si>
    <t>Karthik</t>
  </si>
  <si>
    <t>IT</t>
  </si>
  <si>
    <t>E004</t>
  </si>
  <si>
    <t>Priya</t>
  </si>
  <si>
    <t>E005</t>
  </si>
  <si>
    <t>Suresh</t>
  </si>
  <si>
    <t>Finance</t>
  </si>
  <si>
    <t>E006</t>
  </si>
  <si>
    <t>Meena</t>
  </si>
  <si>
    <t>E007</t>
  </si>
  <si>
    <t>Arjun</t>
  </si>
  <si>
    <t>E008</t>
  </si>
  <si>
    <t>Kavya</t>
  </si>
  <si>
    <t>E009</t>
  </si>
  <si>
    <t>Bala</t>
  </si>
  <si>
    <t>E010</t>
  </si>
  <si>
    <t>Divya</t>
  </si>
  <si>
    <t>Level 1: Basic IF</t>
  </si>
  <si>
    <t>Attendance Status</t>
  </si>
  <si>
    <t>If Attendance_% ≥ 75 → "Present"</t>
  </si>
  <si>
    <t>Else → "Absent"</t>
  </si>
  <si>
    <t>Pass / Fail</t>
  </si>
  <si>
    <t>If Score ≥ 50 → "Pass"</t>
  </si>
  <si>
    <t>Else → "Fail"</t>
  </si>
  <si>
    <t>Sales Person Check</t>
  </si>
  <si>
    <t>If Department = "Sales" → "Yes"</t>
  </si>
  <si>
    <t>Else → "No"</t>
  </si>
  <si>
    <t>Level 2: IF with AND / OR</t>
  </si>
  <si>
    <t>4. Bonus Eligibility</t>
  </si>
  <si>
    <t>Eligible if:</t>
  </si>
  <si>
    <r>
      <t>Department = Sales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</t>
    </r>
  </si>
  <si>
    <t>Sales_Amount ≥ 40000</t>
  </si>
  <si>
    <r>
      <t xml:space="preserve">Else </t>
    </r>
    <r>
      <rPr>
        <sz val="10"/>
        <color theme="1"/>
        <rFont val="Arial Unicode MS"/>
      </rPr>
      <t>"Not Eligible"</t>
    </r>
  </si>
  <si>
    <t>5. High Performer</t>
  </si>
  <si>
    <r>
      <t xml:space="preserve">If </t>
    </r>
    <r>
      <rPr>
        <sz val="10"/>
        <color theme="1"/>
        <rFont val="Arial Unicode MS"/>
      </rPr>
      <t>Score ≥ 80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Attendance_% ≥ 90</t>
    </r>
  </si>
  <si>
    <r>
      <t xml:space="preserve">Output </t>
    </r>
    <r>
      <rPr>
        <sz val="10"/>
        <color theme="1"/>
        <rFont val="Arial Unicode MS"/>
      </rPr>
      <t>"High Performer"</t>
    </r>
    <r>
      <rPr>
        <sz val="11"/>
        <color theme="1"/>
        <rFont val="Calibri"/>
        <family val="2"/>
        <scheme val="minor"/>
      </rPr>
      <t xml:space="preserve"> else </t>
    </r>
    <r>
      <rPr>
        <sz val="10"/>
        <color theme="1"/>
        <rFont val="Arial Unicode MS"/>
      </rPr>
      <t>"Normal"</t>
    </r>
  </si>
  <si>
    <t>6. Young or Experienced</t>
  </si>
  <si>
    <r>
      <t xml:space="preserve">If </t>
    </r>
    <r>
      <rPr>
        <sz val="10"/>
        <color theme="1"/>
        <rFont val="Arial Unicode MS"/>
      </rPr>
      <t>Age &lt; 30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Experience_Years ≥ 10</t>
    </r>
  </si>
  <si>
    <r>
      <t xml:space="preserve">Output </t>
    </r>
    <r>
      <rPr>
        <sz val="10"/>
        <color theme="1"/>
        <rFont val="Arial Unicode MS"/>
      </rPr>
      <t>"Special Category"</t>
    </r>
    <r>
      <rPr>
        <sz val="11"/>
        <color theme="1"/>
        <rFont val="Calibri"/>
        <family val="2"/>
        <scheme val="minor"/>
      </rPr>
      <t xml:space="preserve"> else </t>
    </r>
    <r>
      <rPr>
        <sz val="10"/>
        <color theme="1"/>
        <rFont val="Arial Unicode MS"/>
      </rPr>
      <t>"Regular"</t>
    </r>
  </si>
  <si>
    <t>Level 3: Nested IF</t>
  </si>
  <si>
    <t>7. Performance Rating</t>
  </si>
  <si>
    <r>
      <t xml:space="preserve">Score ≥ 85 → </t>
    </r>
    <r>
      <rPr>
        <sz val="10"/>
        <color theme="1"/>
        <rFont val="Arial Unicode MS"/>
      </rPr>
      <t>"Excellent"</t>
    </r>
  </si>
  <si>
    <r>
      <t xml:space="preserve">Score ≥ 70 → </t>
    </r>
    <r>
      <rPr>
        <sz val="10"/>
        <color theme="1"/>
        <rFont val="Arial Unicode MS"/>
      </rPr>
      <t>"Good"</t>
    </r>
  </si>
  <si>
    <r>
      <t xml:space="preserve">Score ≥ 50 → </t>
    </r>
    <r>
      <rPr>
        <sz val="10"/>
        <color theme="1"/>
        <rFont val="Arial Unicode MS"/>
      </rPr>
      <t>"Average"</t>
    </r>
  </si>
  <si>
    <r>
      <t xml:space="preserve">Else → </t>
    </r>
    <r>
      <rPr>
        <sz val="10"/>
        <color theme="1"/>
        <rFont val="Arial Unicode MS"/>
      </rPr>
      <t>"Poor"</t>
    </r>
  </si>
  <si>
    <t>8. Sales Incentive</t>
  </si>
  <si>
    <r>
      <t xml:space="preserve">Sales ≥ 50000 → </t>
    </r>
    <r>
      <rPr>
        <sz val="10"/>
        <color theme="1"/>
        <rFont val="Arial Unicode MS"/>
      </rPr>
      <t>"10% Incentive"</t>
    </r>
  </si>
  <si>
    <r>
      <t xml:space="preserve">Sales ≥ 30000 → </t>
    </r>
    <r>
      <rPr>
        <sz val="10"/>
        <color theme="1"/>
        <rFont val="Arial Unicode MS"/>
      </rPr>
      <t>"5% Incentive"</t>
    </r>
  </si>
  <si>
    <r>
      <t xml:space="preserve">Sales &gt; 0 → </t>
    </r>
    <r>
      <rPr>
        <sz val="10"/>
        <color theme="1"/>
        <rFont val="Arial Unicode MS"/>
      </rPr>
      <t>"2% Incentive"</t>
    </r>
  </si>
  <si>
    <r>
      <t xml:space="preserve">Else → </t>
    </r>
    <r>
      <rPr>
        <sz val="10"/>
        <color theme="1"/>
        <rFont val="Arial Unicode MS"/>
      </rPr>
      <t>"No Incentive"</t>
    </r>
  </si>
  <si>
    <t>Level 4: Real-World Logic (Interview Level)</t>
  </si>
  <si>
    <t>9. Promotion Eligibility</t>
  </si>
  <si>
    <r>
      <t xml:space="preserve">Experience ≥ 5 </t>
    </r>
    <r>
      <rPr>
        <b/>
        <sz val="11"/>
        <color theme="1"/>
        <rFont val="Calibri"/>
        <family val="2"/>
        <scheme val="minor"/>
      </rPr>
      <t>AND</t>
    </r>
  </si>
  <si>
    <r>
      <t xml:space="preserve">Score ≥ 75 </t>
    </r>
    <r>
      <rPr>
        <b/>
        <sz val="11"/>
        <color theme="1"/>
        <rFont val="Calibri"/>
        <family val="2"/>
        <scheme val="minor"/>
      </rPr>
      <t>AND</t>
    </r>
  </si>
  <si>
    <t>Attendance ≥ 85</t>
  </si>
  <si>
    <r>
      <t xml:space="preserve">Output </t>
    </r>
    <r>
      <rPr>
        <sz val="10"/>
        <color theme="1"/>
        <rFont val="Arial Unicode MS"/>
      </rPr>
      <t>"Eligible"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"Not Eligible"</t>
    </r>
  </si>
  <si>
    <t>10. Work Mode</t>
  </si>
  <si>
    <r>
      <t xml:space="preserve">If </t>
    </r>
    <r>
      <rPr>
        <sz val="10"/>
        <color theme="1"/>
        <rFont val="Arial Unicode MS"/>
      </rPr>
      <t>Attendance_% ≥ 90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"WFH Eligible"</t>
    </r>
  </si>
  <si>
    <r>
      <t xml:space="preserve">Else if </t>
    </r>
    <r>
      <rPr>
        <sz val="10"/>
        <color theme="1"/>
        <rFont val="Arial Unicode MS"/>
      </rPr>
      <t>Attendance_% ≥ 75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"Office"</t>
    </r>
  </si>
  <si>
    <r>
      <t xml:space="preserve">Else → </t>
    </r>
    <r>
      <rPr>
        <sz val="10"/>
        <color theme="1"/>
        <rFont val="Arial Unicode MS"/>
      </rPr>
      <t>"Warning"</t>
    </r>
  </si>
  <si>
    <t>Bonus Challenge (Very Important for Interviews)</t>
  </si>
  <si>
    <t>11. Salary Hike Decision</t>
  </si>
  <si>
    <r>
      <t xml:space="preserve">If Performance = </t>
    </r>
    <r>
      <rPr>
        <sz val="10"/>
        <color theme="1"/>
        <rFont val="Arial Unicode MS"/>
      </rPr>
      <t>"Excellent"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"15% Hike"</t>
    </r>
  </si>
  <si>
    <r>
      <t xml:space="preserve">If </t>
    </r>
    <r>
      <rPr>
        <sz val="10"/>
        <color theme="1"/>
        <rFont val="Arial Unicode MS"/>
      </rPr>
      <t>"Good"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"10% Hike"</t>
    </r>
  </si>
  <si>
    <r>
      <t xml:space="preserve">If </t>
    </r>
    <r>
      <rPr>
        <sz val="10"/>
        <color theme="1"/>
        <rFont val="Arial Unicode MS"/>
      </rPr>
      <t>"Average"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"5% Hike"</t>
    </r>
  </si>
  <si>
    <r>
      <t xml:space="preserve">Else → </t>
    </r>
    <r>
      <rPr>
        <sz val="10"/>
        <color theme="1"/>
        <rFont val="Arial Unicode MS"/>
      </rPr>
      <t>"No Hike"</t>
    </r>
  </si>
  <si>
    <r>
      <t xml:space="preserve">(Use the </t>
    </r>
    <r>
      <rPr>
        <b/>
        <sz val="11"/>
        <color theme="1"/>
        <rFont val="Calibri"/>
        <family val="2"/>
        <scheme val="minor"/>
      </rPr>
      <t>Performance Rating</t>
    </r>
    <r>
      <rPr>
        <sz val="11"/>
        <color theme="1"/>
        <rFont val="Calibri"/>
        <family val="2"/>
        <scheme val="minor"/>
      </rPr>
      <t xml:space="preserve"> column you created earlier)</t>
    </r>
  </si>
  <si>
    <t>Attendance status</t>
  </si>
  <si>
    <t>Pass/Fail</t>
  </si>
  <si>
    <t>Sales person check</t>
  </si>
  <si>
    <t>Bonus eligibility</t>
  </si>
  <si>
    <t>High performer</t>
  </si>
  <si>
    <t>Young or experience</t>
  </si>
  <si>
    <t>Performance Rating</t>
  </si>
  <si>
    <t>Sales Incentive</t>
  </si>
  <si>
    <t xml:space="preserve"> </t>
  </si>
  <si>
    <t>Promotion Eligiblity</t>
  </si>
  <si>
    <t>Work Mode</t>
  </si>
  <si>
    <t>Salary Hike Decision</t>
  </si>
  <si>
    <t>LEVEL 1: COUNTIF (Single Condition)</t>
  </si>
  <si>
    <r>
      <t xml:space="preserve">1. Count how many employees are in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</t>
    </r>
  </si>
  <si>
    <r>
      <t xml:space="preserve">2. Count number of </t>
    </r>
    <r>
      <rPr>
        <b/>
        <sz val="11"/>
        <color theme="1"/>
        <rFont val="Calibri"/>
        <family val="2"/>
        <scheme val="minor"/>
      </rPr>
      <t>Female</t>
    </r>
    <r>
      <rPr>
        <sz val="11"/>
        <color theme="1"/>
        <rFont val="Calibri"/>
        <family val="2"/>
        <scheme val="minor"/>
      </rPr>
      <t xml:space="preserve"> employees</t>
    </r>
  </si>
  <si>
    <r>
      <t xml:space="preserve">3. Count employees with </t>
    </r>
    <r>
      <rPr>
        <b/>
        <sz val="11"/>
        <color theme="1"/>
        <rFont val="Calibri"/>
        <family val="2"/>
        <scheme val="minor"/>
      </rPr>
      <t>Attendance ≥ 90%</t>
    </r>
  </si>
  <si>
    <r>
      <t xml:space="preserve">4. Count employees who </t>
    </r>
    <r>
      <rPr>
        <b/>
        <sz val="11"/>
        <color theme="1"/>
        <rFont val="Calibri"/>
        <family val="2"/>
        <scheme val="minor"/>
      </rPr>
      <t>passed</t>
    </r>
    <r>
      <rPr>
        <sz val="11"/>
        <color theme="1"/>
        <rFont val="Calibri"/>
        <family val="2"/>
        <scheme val="minor"/>
      </rPr>
      <t xml:space="preserve"> (Score ≥ 50)</t>
    </r>
  </si>
  <si>
    <r>
      <t xml:space="preserve">5. Count employees with </t>
    </r>
    <r>
      <rPr>
        <b/>
        <sz val="11"/>
        <color theme="1"/>
        <rFont val="Calibri"/>
        <family val="2"/>
        <scheme val="minor"/>
      </rPr>
      <t>Experience more than 5 years</t>
    </r>
  </si>
  <si>
    <t>🟡 LEVEL 2: COUNTIFS (Multiple Conditions)</t>
  </si>
  <si>
    <t>6. Count employees who are:</t>
  </si>
  <si>
    <r>
      <t xml:space="preserve">In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 </t>
    </r>
    <r>
      <rPr>
        <b/>
        <sz val="11"/>
        <color theme="1"/>
        <rFont val="Calibri"/>
        <family val="2"/>
        <scheme val="minor"/>
      </rPr>
      <t>AND</t>
    </r>
  </si>
  <si>
    <r>
      <t xml:space="preserve">7. Count </t>
    </r>
    <r>
      <rPr>
        <b/>
        <sz val="11"/>
        <color theme="1"/>
        <rFont val="Calibri"/>
        <family val="2"/>
        <scheme val="minor"/>
      </rPr>
      <t>Male employees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</t>
    </r>
  </si>
  <si>
    <t>8. Count employees with:</t>
  </si>
  <si>
    <r>
      <t xml:space="preserve">Attendance ≥ 85 </t>
    </r>
    <r>
      <rPr>
        <b/>
        <sz val="11"/>
        <color theme="1"/>
        <rFont val="Calibri"/>
        <family val="2"/>
        <scheme val="minor"/>
      </rPr>
      <t>AND</t>
    </r>
  </si>
  <si>
    <t>Score ≥ 70</t>
  </si>
  <si>
    <t>9. Count employees who are:</t>
  </si>
  <si>
    <r>
      <t>Female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</t>
    </r>
  </si>
  <si>
    <t>Experience ≥ 5 years</t>
  </si>
  <si>
    <t>10. Count employees who are:</t>
  </si>
  <si>
    <r>
      <t>Age &lt; 30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</t>
    </r>
  </si>
  <si>
    <t>Department ≠ Sales</t>
  </si>
  <si>
    <t>🔵 LEVEL 3: SUMIF (Single Condition)</t>
  </si>
  <si>
    <r>
      <t xml:space="preserve">11. Find </t>
    </r>
    <r>
      <rPr>
        <b/>
        <sz val="11"/>
        <color theme="1"/>
        <rFont val="Calibri"/>
        <family val="2"/>
        <scheme val="minor"/>
      </rPr>
      <t>total sales amount</t>
    </r>
    <r>
      <rPr>
        <sz val="11"/>
        <color theme="1"/>
        <rFont val="Calibri"/>
        <family val="2"/>
        <scheme val="minor"/>
      </rPr>
      <t xml:space="preserve"> generated by </t>
    </r>
    <r>
      <rPr>
        <b/>
        <sz val="11"/>
        <color theme="1"/>
        <rFont val="Calibri"/>
        <family val="2"/>
        <scheme val="minor"/>
      </rPr>
      <t>Sales department</t>
    </r>
  </si>
  <si>
    <r>
      <t xml:space="preserve">12. Find total sales amount where </t>
    </r>
    <r>
      <rPr>
        <b/>
        <sz val="11"/>
        <color theme="1"/>
        <rFont val="Calibri"/>
        <family val="2"/>
        <scheme val="minor"/>
      </rPr>
      <t>Sales_Amount ≥ 30000</t>
    </r>
  </si>
  <si>
    <r>
      <t xml:space="preserve">13. Find total </t>
    </r>
    <r>
      <rPr>
        <b/>
        <sz val="11"/>
        <color theme="1"/>
        <rFont val="Calibri"/>
        <family val="2"/>
        <scheme val="minor"/>
      </rPr>
      <t>Experience_Years</t>
    </r>
    <r>
      <rPr>
        <sz val="11"/>
        <color theme="1"/>
        <rFont val="Calibri"/>
        <family val="2"/>
        <scheme val="minor"/>
      </rPr>
      <t xml:space="preserve"> of employees in </t>
    </r>
    <r>
      <rPr>
        <b/>
        <sz val="11"/>
        <color theme="1"/>
        <rFont val="Calibri"/>
        <family val="2"/>
        <scheme val="minor"/>
      </rPr>
      <t>Finance</t>
    </r>
    <r>
      <rPr>
        <sz val="11"/>
        <color theme="1"/>
        <rFont val="Calibri"/>
        <family val="2"/>
        <scheme val="minor"/>
      </rPr>
      <t xml:space="preserve"> department</t>
    </r>
  </si>
  <si>
    <t>🟣 LEVEL 4: SUMIFS (Multiple Conditions – Interview Favorite)</t>
  </si>
  <si>
    <t>14. Total sales amount where:</t>
  </si>
  <si>
    <t>Department = Sales</t>
  </si>
  <si>
    <t>15. Total sales amount for:</t>
  </si>
  <si>
    <t>Female employees</t>
  </si>
  <si>
    <r>
      <t xml:space="preserve">In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</t>
    </r>
  </si>
  <si>
    <t>16. Sum of experience where:</t>
  </si>
  <si>
    <t>17. Total sales where:</t>
  </si>
  <si>
    <t>🔴 LEVEL 5: REAL INTERVIEW SCENARIOS</t>
  </si>
  <si>
    <r>
      <t xml:space="preserve">18. Total sales amount by </t>
    </r>
    <r>
      <rPr>
        <b/>
        <sz val="11"/>
        <color theme="1"/>
        <rFont val="Calibri"/>
        <family val="2"/>
        <scheme val="minor"/>
      </rPr>
      <t>Sales employees with experience ≥ 5 years</t>
    </r>
  </si>
  <si>
    <t>19. Count employees who:</t>
  </si>
  <si>
    <r>
      <t xml:space="preserve">Are </t>
    </r>
    <r>
      <rPr>
        <b/>
        <sz val="11"/>
        <color theme="1"/>
        <rFont val="Calibri"/>
        <family val="2"/>
        <scheme val="minor"/>
      </rPr>
      <t>High Performers</t>
    </r>
  </si>
  <si>
    <t>(Score ≥ 80 AND Attendance ≥ 90)</t>
  </si>
  <si>
    <r>
      <t xml:space="preserve">20. Count employees eligible for </t>
    </r>
    <r>
      <rPr>
        <b/>
        <sz val="11"/>
        <color theme="1"/>
        <rFont val="Calibri"/>
        <family val="2"/>
        <scheme val="minor"/>
      </rPr>
      <t>Promotion</t>
    </r>
    <r>
      <rPr>
        <sz val="11"/>
        <color theme="1"/>
        <rFont val="Calibri"/>
        <family val="2"/>
        <scheme val="minor"/>
      </rPr>
      <t>:</t>
    </r>
  </si>
  <si>
    <t>Experience ≥ 5</t>
  </si>
  <si>
    <t>Score ≥ 75</t>
  </si>
  <si>
    <t>A (Emp_ID)</t>
  </si>
  <si>
    <t>B (Full_Name)</t>
  </si>
  <si>
    <t>C (Email)</t>
  </si>
  <si>
    <t>D (Department_Code)</t>
  </si>
  <si>
    <t>E (Joining_Date)</t>
  </si>
  <si>
    <t>F (Status)</t>
  </si>
  <si>
    <t>G (Salary_Text)</t>
  </si>
  <si>
    <t>H (Remarks)</t>
  </si>
  <si>
    <t>EMP-001</t>
  </si>
  <si>
    <t>Anu Devi</t>
  </si>
  <si>
    <t>anu.hr@company.com</t>
  </si>
  <si>
    <t>HR-IND</t>
  </si>
  <si>
    <t>Active</t>
  </si>
  <si>
    <t>₹ 45,000</t>
  </si>
  <si>
    <t>Good performer</t>
  </si>
  <si>
    <t>EMP-002</t>
  </si>
  <si>
    <t>Ravi Kumar</t>
  </si>
  <si>
    <t>ravi.sales@company.com</t>
  </si>
  <si>
    <t>SALES-USA</t>
  </si>
  <si>
    <t>₹ 60,500</t>
  </si>
  <si>
    <t>Late submission</t>
  </si>
  <si>
    <t>EMP-003</t>
  </si>
  <si>
    <t>Karthik R</t>
  </si>
  <si>
    <t>karthik.it@company.com</t>
  </si>
  <si>
    <t>IT-IND</t>
  </si>
  <si>
    <t>Inactive</t>
  </si>
  <si>
    <t>₹ 38,000</t>
  </si>
  <si>
    <t>Needs improvement</t>
  </si>
  <si>
    <t>EMP-004</t>
  </si>
  <si>
    <t>Priya S</t>
  </si>
  <si>
    <t>priya.sales@company.com</t>
  </si>
  <si>
    <t>SALES-IND</t>
  </si>
  <si>
    <t>₹ 72,000</t>
  </si>
  <si>
    <t>Excellent</t>
  </si>
  <si>
    <t>EMP-005</t>
  </si>
  <si>
    <t>Suresh M</t>
  </si>
  <si>
    <t>suresh.fin@company.com</t>
  </si>
  <si>
    <t>FIN-USA</t>
  </si>
  <si>
    <t>₹ 90,000</t>
  </si>
  <si>
    <t>Senior staff</t>
  </si>
  <si>
    <t>EMP-006</t>
  </si>
  <si>
    <t>Meena L</t>
  </si>
  <si>
    <t>meena.hr@company.com</t>
  </si>
  <si>
    <t>₹ 41,500</t>
  </si>
  <si>
    <t>On leave</t>
  </si>
  <si>
    <t>🟢 PART 1: LOGICAL OPERATORS (AND / OR / NOT)</t>
  </si>
  <si>
    <r>
      <t xml:space="preserve">1. Display </t>
    </r>
    <r>
      <rPr>
        <b/>
        <sz val="11"/>
        <color theme="1"/>
        <rFont val="Calibri"/>
        <family val="2"/>
        <scheme val="minor"/>
      </rPr>
      <t>"Eligible"</t>
    </r>
    <r>
      <rPr>
        <sz val="11"/>
        <color theme="1"/>
        <rFont val="Calibri"/>
        <family val="2"/>
        <scheme val="minor"/>
      </rPr>
      <t xml:space="preserve"> if:</t>
    </r>
  </si>
  <si>
    <r>
      <t xml:space="preserve">Status = </t>
    </r>
    <r>
      <rPr>
        <sz val="10"/>
        <color theme="1"/>
        <rFont val="Arial Unicode MS"/>
      </rPr>
      <t>"Active"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</t>
    </r>
  </si>
  <si>
    <r>
      <t xml:space="preserve">Joining_Date before </t>
    </r>
    <r>
      <rPr>
        <sz val="10"/>
        <color theme="1"/>
        <rFont val="Arial Unicode MS"/>
      </rPr>
      <t>01-01-2022</t>
    </r>
  </si>
  <si>
    <r>
      <t xml:space="preserve">2. Display </t>
    </r>
    <r>
      <rPr>
        <b/>
        <sz val="11"/>
        <color theme="1"/>
        <rFont val="Calibri"/>
        <family val="2"/>
        <scheme val="minor"/>
      </rPr>
      <t>"Review Needed"</t>
    </r>
    <r>
      <rPr>
        <sz val="11"/>
        <color theme="1"/>
        <rFont val="Calibri"/>
        <family val="2"/>
        <scheme val="minor"/>
      </rPr>
      <t xml:space="preserve"> if:</t>
    </r>
  </si>
  <si>
    <r>
      <t xml:space="preserve">Status = </t>
    </r>
    <r>
      <rPr>
        <sz val="10"/>
        <color theme="1"/>
        <rFont val="Arial Unicode MS"/>
      </rPr>
      <t>"Inactive"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</si>
  <si>
    <r>
      <t xml:space="preserve">Remarks contain the word </t>
    </r>
    <r>
      <rPr>
        <sz val="10"/>
        <color theme="1"/>
        <rFont val="Arial Unicode MS"/>
      </rPr>
      <t>"Late"</t>
    </r>
  </si>
  <si>
    <r>
      <t xml:space="preserve">3. Display </t>
    </r>
    <r>
      <rPr>
        <b/>
        <sz val="11"/>
        <color theme="1"/>
        <rFont val="Calibri"/>
        <family val="2"/>
        <scheme val="minor"/>
      </rPr>
      <t>"India Employee"</t>
    </r>
    <r>
      <rPr>
        <sz val="11"/>
        <color theme="1"/>
        <rFont val="Calibri"/>
        <family val="2"/>
        <scheme val="minor"/>
      </rPr>
      <t xml:space="preserve"> if Department_Code ends with </t>
    </r>
    <r>
      <rPr>
        <sz val="10"/>
        <color theme="1"/>
        <rFont val="Arial Unicode MS"/>
      </rPr>
      <t>"IND"</t>
    </r>
    <r>
      <rPr>
        <sz val="11"/>
        <color theme="1"/>
        <rFont val="Calibri"/>
        <family val="2"/>
        <scheme val="minor"/>
      </rPr>
      <t xml:space="preserve">, else </t>
    </r>
    <r>
      <rPr>
        <sz val="10"/>
        <color theme="1"/>
        <rFont val="Arial Unicode MS"/>
      </rPr>
      <t>"Overseas"</t>
    </r>
  </si>
  <si>
    <t>🟡 PART 2: LEFT FUNCTION</t>
  </si>
  <si>
    <r>
      <t xml:space="preserve">4. Extract </t>
    </r>
    <r>
      <rPr>
        <b/>
        <sz val="11"/>
        <color theme="1"/>
        <rFont val="Calibri"/>
        <family val="2"/>
        <scheme val="minor"/>
      </rPr>
      <t>Department name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Department_Code</t>
    </r>
  </si>
  <si>
    <r>
      <t xml:space="preserve">Example: </t>
    </r>
    <r>
      <rPr>
        <sz val="10"/>
        <color theme="1"/>
        <rFont val="Arial Unicode MS"/>
      </rPr>
      <t>HR-IND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HR</t>
    </r>
  </si>
  <si>
    <r>
      <t xml:space="preserve">5. Extract first </t>
    </r>
    <r>
      <rPr>
        <b/>
        <sz val="11"/>
        <color theme="1"/>
        <rFont val="Calibri"/>
        <family val="2"/>
        <scheme val="minor"/>
      </rPr>
      <t>3 characters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Emp_ID</t>
    </r>
  </si>
  <si>
    <t>🔵 PART 3: RIGHT FUNCTION</t>
  </si>
  <si>
    <r>
      <t xml:space="preserve">6. Extract </t>
    </r>
    <r>
      <rPr>
        <b/>
        <sz val="11"/>
        <color theme="1"/>
        <rFont val="Calibri"/>
        <family val="2"/>
        <scheme val="minor"/>
      </rPr>
      <t>Country code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Department_Code</t>
    </r>
  </si>
  <si>
    <r>
      <t xml:space="preserve">Example: </t>
    </r>
    <r>
      <rPr>
        <sz val="10"/>
        <color theme="1"/>
        <rFont val="Arial Unicode MS"/>
      </rPr>
      <t>SALES-USA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USA</t>
    </r>
  </si>
  <si>
    <r>
      <t xml:space="preserve">7. Extract </t>
    </r>
    <r>
      <rPr>
        <b/>
        <sz val="11"/>
        <color theme="1"/>
        <rFont val="Calibri"/>
        <family val="2"/>
        <scheme val="minor"/>
      </rPr>
      <t>year</t>
    </r>
    <r>
      <rPr>
        <sz val="11"/>
        <color theme="1"/>
        <rFont val="Calibri"/>
        <family val="2"/>
        <scheme val="minor"/>
      </rPr>
      <t xml:space="preserve"> from Joining_Date (use RIGHT on formatted date)</t>
    </r>
  </si>
  <si>
    <t>🟣 PART 4: MID FUNCTION</t>
  </si>
  <si>
    <r>
      <t xml:space="preserve">8. Extract </t>
    </r>
    <r>
      <rPr>
        <b/>
        <sz val="11"/>
        <color theme="1"/>
        <rFont val="Calibri"/>
        <family val="2"/>
        <scheme val="minor"/>
      </rPr>
      <t>numeric part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Emp_ID</t>
    </r>
  </si>
  <si>
    <r>
      <t xml:space="preserve">Example: </t>
    </r>
    <r>
      <rPr>
        <sz val="10"/>
        <color theme="1"/>
        <rFont val="Arial Unicode MS"/>
      </rPr>
      <t>EMP-001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001</t>
    </r>
  </si>
  <si>
    <r>
      <t xml:space="preserve">9. Extract </t>
    </r>
    <r>
      <rPr>
        <b/>
        <sz val="11"/>
        <color theme="1"/>
        <rFont val="Calibri"/>
        <family val="2"/>
        <scheme val="minor"/>
      </rPr>
      <t>middle name initial</t>
    </r>
    <r>
      <rPr>
        <sz val="11"/>
        <color theme="1"/>
        <rFont val="Calibri"/>
        <family val="2"/>
        <scheme val="minor"/>
      </rPr>
      <t xml:space="preserve"> from Full_Name</t>
    </r>
  </si>
  <si>
    <r>
      <t xml:space="preserve">Example: </t>
    </r>
    <r>
      <rPr>
        <sz val="10"/>
        <color theme="1"/>
        <rFont val="Arial Unicode MS"/>
      </rPr>
      <t>Ravi Kumar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K</t>
    </r>
  </si>
  <si>
    <t>🟠 PART 5: CONCAT / CONCATENATE</t>
  </si>
  <si>
    <r>
      <t xml:space="preserve">10. Create </t>
    </r>
    <r>
      <rPr>
        <b/>
        <sz val="11"/>
        <color theme="1"/>
        <rFont val="Calibri"/>
        <family val="2"/>
        <scheme val="minor"/>
      </rPr>
      <t>Official Login ID</t>
    </r>
  </si>
  <si>
    <r>
      <t xml:space="preserve">Format: </t>
    </r>
    <r>
      <rPr>
        <sz val="10"/>
        <color theme="1"/>
        <rFont val="Arial Unicode MS"/>
      </rPr>
      <t>firstname.department@company.com</t>
    </r>
  </si>
  <si>
    <t>11. Combine Emp_ID and Department_Code</t>
  </si>
  <si>
    <r>
      <t xml:space="preserve">Format: </t>
    </r>
    <r>
      <rPr>
        <sz val="10"/>
        <color theme="1"/>
        <rFont val="Arial Unicode MS"/>
      </rPr>
      <t>EMP-001 | HR-IND</t>
    </r>
  </si>
  <si>
    <t>🔴 PART 6: TEXTJOIN (JOIN)</t>
  </si>
  <si>
    <r>
      <t xml:space="preserve">12. Join </t>
    </r>
    <r>
      <rPr>
        <b/>
        <sz val="11"/>
        <color theme="1"/>
        <rFont val="Calibri"/>
        <family val="2"/>
        <scheme val="minor"/>
      </rPr>
      <t>Emp_ID, Full_Name, Status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-</t>
    </r>
    <r>
      <rPr>
        <sz val="11"/>
        <color theme="1"/>
        <rFont val="Calibri"/>
        <family val="2"/>
        <scheme val="minor"/>
      </rPr>
      <t xml:space="preserve"> as separator</t>
    </r>
  </si>
  <si>
    <t>Ignore empty cells</t>
  </si>
  <si>
    <r>
      <t xml:space="preserve">13. Join </t>
    </r>
    <r>
      <rPr>
        <b/>
        <sz val="11"/>
        <color theme="1"/>
        <rFont val="Calibri"/>
        <family val="2"/>
        <scheme val="minor"/>
      </rPr>
      <t>Department + Country + Status</t>
    </r>
    <r>
      <rPr>
        <sz val="11"/>
        <color theme="1"/>
        <rFont val="Calibri"/>
        <family val="2"/>
        <scheme val="minor"/>
      </rPr>
      <t xml:space="preserve"> using </t>
    </r>
    <r>
      <rPr>
        <sz val="10"/>
        <color theme="1"/>
        <rFont val="Arial Unicode MS"/>
      </rPr>
      <t>/</t>
    </r>
  </si>
  <si>
    <t>🟤 PART 7: TRIM (Data Cleaning – Very Important)</t>
  </si>
  <si>
    <r>
      <t xml:space="preserve">14. Remove </t>
    </r>
    <r>
      <rPr>
        <b/>
        <sz val="11"/>
        <color theme="1"/>
        <rFont val="Calibri"/>
        <family val="2"/>
        <scheme val="minor"/>
      </rPr>
      <t>extra spaces</t>
    </r>
    <r>
      <rPr>
        <sz val="11"/>
        <color theme="1"/>
        <rFont val="Calibri"/>
        <family val="2"/>
        <scheme val="minor"/>
      </rPr>
      <t xml:space="preserve"> from Remarks column</t>
    </r>
  </si>
  <si>
    <r>
      <t xml:space="preserve">15. Count how many employees have Remarks = </t>
    </r>
    <r>
      <rPr>
        <sz val="10"/>
        <color theme="1"/>
        <rFont val="Arial Unicode MS"/>
      </rPr>
      <t>"Good performer"</t>
    </r>
  </si>
  <si>
    <t>(Hint: TRIM + COUNTIF)</t>
  </si>
  <si>
    <t>🔥 INTERVIEW-LEVEL CHALLENGE</t>
  </si>
  <si>
    <r>
      <t xml:space="preserve">16. Extract </t>
    </r>
    <r>
      <rPr>
        <b/>
        <sz val="11"/>
        <color theme="1"/>
        <rFont val="Calibri"/>
        <family val="2"/>
        <scheme val="minor"/>
      </rPr>
      <t>Salary as number</t>
    </r>
    <r>
      <rPr>
        <sz val="11"/>
        <color theme="1"/>
        <rFont val="Calibri"/>
        <family val="2"/>
        <scheme val="minor"/>
      </rPr>
      <t xml:space="preserve"> from Salary_Text</t>
    </r>
  </si>
  <si>
    <r>
      <t xml:space="preserve">Example: </t>
    </r>
    <r>
      <rPr>
        <sz val="10"/>
        <color theme="1"/>
        <rFont val="Arial Unicode MS"/>
      </rPr>
      <t>₹ 45,000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45000</t>
    </r>
  </si>
  <si>
    <r>
      <t xml:space="preserve">17. Display </t>
    </r>
    <r>
      <rPr>
        <b/>
        <sz val="11"/>
        <color theme="1"/>
        <rFont val="Calibri"/>
        <family val="2"/>
        <scheme val="minor"/>
      </rPr>
      <t>"High Salary"</t>
    </r>
    <r>
      <rPr>
        <sz val="11"/>
        <color theme="1"/>
        <rFont val="Calibri"/>
        <family val="2"/>
        <scheme val="minor"/>
      </rPr>
      <t xml:space="preserve"> if salary &gt; 60000 AND Status = Active</t>
    </r>
  </si>
  <si>
    <t>Emp_ID</t>
  </si>
  <si>
    <t>Full_Name</t>
  </si>
  <si>
    <t>Location</t>
  </si>
  <si>
    <t>Join_Date</t>
  </si>
  <si>
    <t>Salary</t>
  </si>
  <si>
    <t>E101</t>
  </si>
  <si>
    <t>Arun Kumar</t>
  </si>
  <si>
    <t>Chennai</t>
  </si>
  <si>
    <t>E102</t>
  </si>
  <si>
    <t>Divya R</t>
  </si>
  <si>
    <t>Bangalore</t>
  </si>
  <si>
    <t>25/03/2021</t>
  </si>
  <si>
    <t>E103</t>
  </si>
  <si>
    <t>E104</t>
  </si>
  <si>
    <t>Kavya P</t>
  </si>
  <si>
    <t>Hyderabad</t>
  </si>
  <si>
    <t>19/08/2022</t>
  </si>
  <si>
    <t>E105</t>
  </si>
  <si>
    <t>Manoj S</t>
  </si>
  <si>
    <t>Mumbai</t>
  </si>
  <si>
    <t>E106</t>
  </si>
  <si>
    <t>Priya K</t>
  </si>
  <si>
    <t>15/02/2023</t>
  </si>
  <si>
    <t>E107</t>
  </si>
  <si>
    <t>Ramesh N</t>
  </si>
  <si>
    <t>Pune</t>
  </si>
  <si>
    <t>E108</t>
  </si>
  <si>
    <t>Sneha L</t>
  </si>
  <si>
    <t>30/09/2021</t>
  </si>
  <si>
    <t>Arun</t>
  </si>
  <si>
    <t>Manoj</t>
  </si>
  <si>
    <t>Join_Year</t>
  </si>
  <si>
    <t>E109</t>
  </si>
  <si>
    <t>VLOOKUP</t>
  </si>
  <si>
    <t>HLOOKUP</t>
  </si>
  <si>
    <t>Dept_Code</t>
  </si>
  <si>
    <t>FIN</t>
  </si>
  <si>
    <t>SAL</t>
  </si>
  <si>
    <t>XLOOKUP</t>
  </si>
  <si>
    <t>dpt</t>
  </si>
  <si>
    <t>loc</t>
  </si>
  <si>
    <t>Product_ID</t>
  </si>
  <si>
    <t>Available_Stock</t>
  </si>
  <si>
    <t>Price</t>
  </si>
  <si>
    <t>P101</t>
  </si>
  <si>
    <t>P102</t>
  </si>
  <si>
    <t>P103</t>
  </si>
  <si>
    <t>P104</t>
  </si>
  <si>
    <t>P105</t>
  </si>
  <si>
    <t>create a formula that returns the price when product id id typed in a cell</t>
  </si>
  <si>
    <t>P107</t>
  </si>
  <si>
    <t>vlookup</t>
  </si>
  <si>
    <t xml:space="preserve">xlookup </t>
  </si>
  <si>
    <t>P109</t>
  </si>
  <si>
    <t>returns available stock</t>
  </si>
  <si>
    <t>P10</t>
  </si>
  <si>
    <t>Min_Quantity</t>
  </si>
  <si>
    <t>Unit_Price</t>
  </si>
  <si>
    <t>You must return the correct unit price for any entered quantity (even numbers are not in the list)</t>
  </si>
  <si>
    <t>First_Name</t>
  </si>
  <si>
    <t>Last_Name</t>
  </si>
  <si>
    <t>Janani</t>
  </si>
  <si>
    <t>Kumar</t>
  </si>
  <si>
    <t>Rahul</t>
  </si>
  <si>
    <t>Mehta</t>
  </si>
  <si>
    <t>Sneha</t>
  </si>
  <si>
    <t>Iyer</t>
  </si>
  <si>
    <t>Rao</t>
  </si>
  <si>
    <t>Sharma</t>
  </si>
  <si>
    <t>Pay</t>
  </si>
  <si>
    <t>TASK 1</t>
  </si>
  <si>
    <t>1,YOU HAVE ONE TABLE WITH EMPLOYEE ID,LAST ANME,FIRST NAME</t>
  </si>
  <si>
    <t>2, ON THE PAY REPORT ,ONLY EMPLOYEE ID AND PAY ARE SHOWN</t>
  </si>
  <si>
    <t>3, YOU MUST RETUEN FIRST NAME AND LAST NAME</t>
  </si>
  <si>
    <t>City</t>
  </si>
  <si>
    <t>Coimbatore</t>
  </si>
  <si>
    <t>TASK 4</t>
  </si>
  <si>
    <t>THE PAY REPORT CONTAINS EMPLOYEE ID AND PAY ONLY.YOU MUST RETURN LAST NAME AND CITY USING:</t>
  </si>
  <si>
    <t xml:space="preserve">i,RAW DATA EXTRACT #1 (GIVES LAST NAME &amp; FIRST NAME)  </t>
  </si>
  <si>
    <t xml:space="preserve"> ii, RAW DATA EXTRACT #2(GIVES EMPLOYEE ID &amp; CITY)</t>
  </si>
  <si>
    <t>Pay_Min</t>
  </si>
  <si>
    <t>Pay_Max</t>
  </si>
  <si>
    <t>Pay_Band</t>
  </si>
  <si>
    <t>Band A</t>
  </si>
  <si>
    <t>Band B</t>
  </si>
  <si>
    <t>Band C</t>
  </si>
  <si>
    <t>Band D</t>
  </si>
  <si>
    <t>Find row position of Emp_ID = 103</t>
  </si>
  <si>
    <t>Get Name of Emp_ID = 104</t>
  </si>
  <si>
    <t>Get Salary of Emp_ID = 102</t>
  </si>
  <si>
    <t>Get Department of Emp_ID typed in cell F2</t>
  </si>
  <si>
    <t>Student</t>
  </si>
  <si>
    <t>Math</t>
  </si>
  <si>
    <t>Science</t>
  </si>
  <si>
    <t>English</t>
  </si>
  <si>
    <t>Chitra</t>
  </si>
  <si>
    <t>Deepak</t>
  </si>
  <si>
    <t>Marks (for 2-Way Lookup)</t>
  </si>
  <si>
    <t>Find highest salary using INDEX
Return Name of employee with salary = 35000</t>
  </si>
  <si>
    <t>Get marks of:
Student name in A24
Subject name in B26</t>
  </si>
  <si>
    <t>Joining_Date</t>
  </si>
  <si>
    <t>Sanjay</t>
  </si>
  <si>
    <t>25/03/2020</t>
  </si>
  <si>
    <t>18/11/2022</t>
  </si>
  <si>
    <t>14/09/2020</t>
  </si>
  <si>
    <t>Sort by Salary (Ascending)</t>
  </si>
  <si>
    <t>Sort by Salary (Descending)</t>
  </si>
  <si>
    <t>Sort by Name (A → Z)</t>
  </si>
  <si>
    <t>SORT</t>
  </si>
  <si>
    <t>SORT BY</t>
  </si>
  <si>
    <t>Sort employees by Salary (High → Low)</t>
  </si>
  <si>
    <t>Sort by Department (A–Z) then Salary (High →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</si>
</sst>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7" formatCode="mm/dd/yyyy"/>
    <numFmt numFmtId="168" formatCode="dd/mm/yyyy"/>
    <numFmt numFmtId="169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2"/>
    </xf>
    <xf numFmtId="0" fontId="0" fillId="3" borderId="0" xfId="0" applyFill="1" applyAlignment="1">
      <alignment horizontal="left" vertical="center" indent="3"/>
    </xf>
    <xf numFmtId="0" fontId="3" fillId="3" borderId="0" xfId="0" applyFont="1" applyFill="1" applyAlignment="1">
      <alignment horizontal="left" vertical="center" indent="3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left" vertical="center" indent="2"/>
    </xf>
    <xf numFmtId="0" fontId="0" fillId="4" borderId="0" xfId="0" applyFill="1"/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0" fontId="0" fillId="5" borderId="0" xfId="0" applyFill="1" applyAlignment="1">
      <alignment horizontal="left" vertical="center" indent="2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/>
    <xf numFmtId="0" fontId="0" fillId="6" borderId="0" xfId="0" applyFill="1"/>
    <xf numFmtId="0" fontId="2" fillId="7" borderId="0" xfId="0" applyFont="1" applyFill="1" applyAlignment="1">
      <alignment vertical="center"/>
    </xf>
    <xf numFmtId="0" fontId="0" fillId="7" borderId="0" xfId="0" applyFill="1"/>
    <xf numFmtId="0" fontId="0" fillId="7" borderId="0" xfId="0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1" fillId="7" borderId="0" xfId="0" applyFont="1" applyFill="1"/>
    <xf numFmtId="0" fontId="1" fillId="0" borderId="0" xfId="0" applyFont="1" applyAlignment="1">
      <alignment horizontal="left" vertical="center" indent="2"/>
    </xf>
    <xf numFmtId="0" fontId="4" fillId="0" borderId="0" xfId="1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/>
    </xf>
    <xf numFmtId="0" fontId="2" fillId="8" borderId="0" xfId="0" applyFont="1" applyFill="1" applyAlignment="1">
      <alignment vertical="center"/>
    </xf>
    <xf numFmtId="0" fontId="0" fillId="8" borderId="0" xfId="0" applyFill="1"/>
    <xf numFmtId="164" fontId="0" fillId="8" borderId="0" xfId="0" applyNumberFormat="1" applyFill="1" applyAlignment="1">
      <alignment horizontal="right"/>
    </xf>
    <xf numFmtId="0" fontId="0" fillId="8" borderId="0" xfId="0" applyFill="1" applyAlignment="1">
      <alignment horizontal="left" vertical="center" indent="1"/>
    </xf>
    <xf numFmtId="0" fontId="0" fillId="8" borderId="0" xfId="0" applyFill="1" applyAlignment="1">
      <alignment horizontal="left" vertical="center" indent="2"/>
    </xf>
    <xf numFmtId="14" fontId="0" fillId="0" borderId="0" xfId="0" applyNumberFormat="1"/>
    <xf numFmtId="167" fontId="0" fillId="0" borderId="0" xfId="0" applyNumberFormat="1" applyAlignment="1">
      <alignment horizontal="right" vertical="center" wrapText="1"/>
    </xf>
    <xf numFmtId="0" fontId="2" fillId="9" borderId="0" xfId="0" applyFont="1" applyFill="1" applyAlignment="1">
      <alignment vertical="center"/>
    </xf>
    <xf numFmtId="0" fontId="0" fillId="9" borderId="0" xfId="0" applyFill="1"/>
    <xf numFmtId="0" fontId="2" fillId="10" borderId="0" xfId="0" applyFont="1" applyFill="1" applyAlignment="1">
      <alignment vertical="center"/>
    </xf>
    <xf numFmtId="0" fontId="0" fillId="10" borderId="0" xfId="0" applyFill="1"/>
    <xf numFmtId="16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left"/>
    </xf>
    <xf numFmtId="0" fontId="0" fillId="11" borderId="0" xfId="0" applyFill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8" fontId="1" fillId="0" borderId="0" xfId="0" applyNumberFormat="1" applyFont="1" applyAlignment="1">
      <alignment horizontal="right" vertical="center" wrapText="1"/>
    </xf>
    <xf numFmtId="168" fontId="0" fillId="0" borderId="0" xfId="0" applyNumberFormat="1" applyAlignment="1">
      <alignment horizontal="right"/>
    </xf>
    <xf numFmtId="168" fontId="0" fillId="0" borderId="0" xfId="0" applyNumberFormat="1"/>
    <xf numFmtId="0" fontId="0" fillId="12" borderId="0" xfId="0" applyFill="1"/>
    <xf numFmtId="16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12" borderId="0" xfId="0" applyFill="1" applyAlignment="1">
      <alignment horizontal="center"/>
    </xf>
    <xf numFmtId="0" fontId="0" fillId="13" borderId="0" xfId="0" applyFill="1"/>
    <xf numFmtId="0" fontId="0" fillId="0" borderId="0" xfId="0" applyFill="1"/>
    <xf numFmtId="0" fontId="2" fillId="14" borderId="0" xfId="0" applyFont="1" applyFill="1" applyAlignment="1">
      <alignment vertical="center"/>
    </xf>
    <xf numFmtId="0" fontId="0" fillId="14" borderId="0" xfId="0" applyFill="1"/>
    <xf numFmtId="0" fontId="2" fillId="15" borderId="0" xfId="0" applyFont="1" applyFill="1" applyAlignment="1">
      <alignment vertical="center"/>
    </xf>
    <xf numFmtId="0" fontId="0" fillId="1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9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arthik.it@company.com" TargetMode="External"/><Relationship Id="rId2" Type="http://schemas.openxmlformats.org/officeDocument/2006/relationships/hyperlink" Target="mailto:ravi.sales@company.com" TargetMode="External"/><Relationship Id="rId1" Type="http://schemas.openxmlformats.org/officeDocument/2006/relationships/hyperlink" Target="mailto:anu.hr@company.com" TargetMode="External"/><Relationship Id="rId6" Type="http://schemas.openxmlformats.org/officeDocument/2006/relationships/hyperlink" Target="mailto:meena.hr@company.com" TargetMode="External"/><Relationship Id="rId5" Type="http://schemas.openxmlformats.org/officeDocument/2006/relationships/hyperlink" Target="mailto:suresh.fin@company.com" TargetMode="External"/><Relationship Id="rId4" Type="http://schemas.openxmlformats.org/officeDocument/2006/relationships/hyperlink" Target="mailto:priya.sales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A642-E797-4044-8728-16BAED9DD97E}">
  <dimension ref="A1:V146"/>
  <sheetViews>
    <sheetView workbookViewId="0">
      <selection activeCell="D76" sqref="D76:D84"/>
    </sheetView>
  </sheetViews>
  <sheetFormatPr defaultRowHeight="14.4" x14ac:dyDescent="0.3"/>
  <cols>
    <col min="1" max="1" width="32.6640625" customWidth="1"/>
    <col min="2" max="2" width="11" customWidth="1"/>
    <col min="3" max="3" width="14.5546875" customWidth="1"/>
    <col min="6" max="6" width="17" customWidth="1"/>
    <col min="8" max="8" width="16.6640625" customWidth="1"/>
    <col min="9" max="9" width="18.109375" customWidth="1"/>
    <col min="10" max="10" width="15.88671875" customWidth="1"/>
    <col min="12" max="12" width="14.109375" customWidth="1"/>
    <col min="13" max="14" width="13.5546875" customWidth="1"/>
    <col min="15" max="15" width="19.21875" customWidth="1"/>
    <col min="16" max="16" width="15.6640625" customWidth="1"/>
    <col min="17" max="17" width="12.5546875" customWidth="1"/>
    <col min="18" max="18" width="12.88671875" customWidth="1"/>
  </cols>
  <sheetData>
    <row r="1" spans="1:2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85</v>
      </c>
      <c r="K1" s="9" t="s">
        <v>86</v>
      </c>
      <c r="L1" s="9" t="s">
        <v>87</v>
      </c>
      <c r="M1" s="13" t="s">
        <v>88</v>
      </c>
      <c r="N1" s="13" t="s">
        <v>89</v>
      </c>
      <c r="O1" s="13" t="s">
        <v>90</v>
      </c>
      <c r="P1" s="27" t="s">
        <v>91</v>
      </c>
      <c r="Q1" s="27" t="s">
        <v>92</v>
      </c>
      <c r="R1" s="33" t="s">
        <v>94</v>
      </c>
      <c r="S1" s="34" t="s">
        <v>95</v>
      </c>
      <c r="T1" s="40" t="s">
        <v>96</v>
      </c>
      <c r="U1" s="1"/>
      <c r="V1" s="1"/>
    </row>
    <row r="2" spans="1:22" x14ac:dyDescent="0.3">
      <c r="A2" s="3" t="s">
        <v>9</v>
      </c>
      <c r="B2" s="3" t="s">
        <v>10</v>
      </c>
      <c r="C2" s="3" t="s">
        <v>11</v>
      </c>
      <c r="D2" s="3" t="s">
        <v>12</v>
      </c>
      <c r="E2" s="3">
        <v>25</v>
      </c>
      <c r="F2" s="3">
        <v>92</v>
      </c>
      <c r="G2" s="3">
        <v>78</v>
      </c>
      <c r="H2" s="3">
        <v>0</v>
      </c>
      <c r="I2" s="3">
        <v>2</v>
      </c>
      <c r="J2" s="10" t="str">
        <f>IF(F2&gt;=75,"Present","Absent")</f>
        <v>Present</v>
      </c>
      <c r="K2" s="10" t="str">
        <f>IF(G2&gt;=50,"Pass","Fail")</f>
        <v>Pass</v>
      </c>
      <c r="L2" s="10" t="str">
        <f>IF(C2="Sales","Yes","NO")</f>
        <v>NO</v>
      </c>
      <c r="M2" s="14" t="str">
        <f>IF(C2="Sales",IF( H2&gt;=40000,"ELIGIBLE","Not Eligible"),"NOT ELIGIBLE")</f>
        <v>NOT ELIGIBLE</v>
      </c>
      <c r="N2" s="14" t="str">
        <f>IF(G2&gt;=80,IF(F2&gt;=90,"High Performer","Normal"),"Normal")</f>
        <v>Normal</v>
      </c>
      <c r="O2" s="14" t="str">
        <f>IF(OR(E2&lt;30,I2&gt;=10),"SPECIAL CATEGORY","REGULAR")</f>
        <v>SPECIAL CATEGORY</v>
      </c>
      <c r="P2" s="26" t="str">
        <f>IF(G2&gt;=85,"Excellent",IF(G2&gt;=70,"Good",IF(G2&gt;=50,"Average","Poor")))</f>
        <v>Good</v>
      </c>
      <c r="Q2" s="26" t="str">
        <f>IF(H2&gt;=50000,"50% incentive",IF(H2&gt;=30000,"10% incentive",IF(H2&gt;0,"2% incentive","No Incentive")))</f>
        <v>No Incentive</v>
      </c>
      <c r="R2" s="35" t="str">
        <f>IF(AND(F2&gt;=85,G2&gt;=75,I2&gt;=5),"Eligible","Not Eligible")</f>
        <v>Not Eligible</v>
      </c>
      <c r="S2" s="35" t="str">
        <f>IF(F2&gt;=90,"WFH",IF(F2&gt;=75,"WFO","Warning"))</f>
        <v>WFH</v>
      </c>
      <c r="T2" s="37" t="str">
        <f>IF(P2="Excellent","15% Hike",IF(P2="Good","10% Hike",IF(P2="Average","5% Hike","No Hike")))</f>
        <v>10% Hike</v>
      </c>
    </row>
    <row r="3" spans="1:22" x14ac:dyDescent="0.3">
      <c r="A3" s="3" t="s">
        <v>13</v>
      </c>
      <c r="B3" s="3" t="s">
        <v>14</v>
      </c>
      <c r="C3" s="3" t="s">
        <v>15</v>
      </c>
      <c r="D3" s="3" t="s">
        <v>16</v>
      </c>
      <c r="E3" s="3">
        <v>32</v>
      </c>
      <c r="F3" s="3">
        <v>85</v>
      </c>
      <c r="G3" s="3">
        <v>65</v>
      </c>
      <c r="H3" s="3">
        <v>45000</v>
      </c>
      <c r="I3" s="3">
        <v>6</v>
      </c>
      <c r="J3" s="10" t="str">
        <f t="shared" ref="J3:J11" si="0">IF(F3&gt;=75,"Present","Absent")</f>
        <v>Present</v>
      </c>
      <c r="K3" s="10" t="str">
        <f t="shared" ref="K3:K11" si="1">IF(G3&gt;=50,"Pass","Fail")</f>
        <v>Pass</v>
      </c>
      <c r="L3" s="10" t="str">
        <f t="shared" ref="L3:L11" si="2">IF(C3="Sales","Yes","NO")</f>
        <v>Yes</v>
      </c>
      <c r="M3" s="14" t="str">
        <f>IF(C3="Sales",IF( H3&gt;=40000,"ELIGIBLE","Not Eligible"),"NOT ELIGIBLE")</f>
        <v>ELIGIBLE</v>
      </c>
      <c r="N3" s="14" t="str">
        <f t="shared" ref="N3:N11" si="3">IF(G3&gt;=80,IF(F3&gt;=90,"High Performer","Normal"),"Normal")</f>
        <v>Normal</v>
      </c>
      <c r="O3" s="14" t="str">
        <f t="shared" ref="O3:O11" si="4">IF(OR(E3&lt;30,I3&gt;=10),"SPECIAL CATEGORY","REGULAR")</f>
        <v>REGULAR</v>
      </c>
      <c r="P3" s="26" t="str">
        <f t="shared" ref="P3:P11" si="5">IF(G3&gt;=85,"Excellent",IF(G3&gt;=70,"Good",IF(G3&gt;=50,"Average","Poor")))</f>
        <v>Average</v>
      </c>
      <c r="Q3" s="26" t="str">
        <f t="shared" ref="Q3:Q11" si="6">IF(H3&gt;=50000,"50% incentive",IF(H3&gt;=30000,"10% incentive",IF(H3&gt;0,"2% incentive","No Incentive")))</f>
        <v>10% incentive</v>
      </c>
      <c r="R3" s="35" t="str">
        <f t="shared" ref="R3:R11" si="7">IF(AND(F3&gt;=85,G3&gt;=75,I3&gt;=5),"Eligible","Not Eligible")</f>
        <v>Not Eligible</v>
      </c>
      <c r="S3" s="35" t="str">
        <f t="shared" ref="S3:S11" si="8">IF(F3&gt;=90,"WFH",IF(F3&gt;=75,"WFO","Warning"))</f>
        <v>WFO</v>
      </c>
      <c r="T3" s="37" t="str">
        <f t="shared" ref="T3:T11" si="9">IF(P3="Excellent","15% Hike",IF(P3="Good","10% Hike",IF(P3="Average","5% Hike","No Hike")))</f>
        <v>5% Hike</v>
      </c>
    </row>
    <row r="4" spans="1:22" x14ac:dyDescent="0.3">
      <c r="A4" s="3" t="s">
        <v>17</v>
      </c>
      <c r="B4" s="3" t="s">
        <v>18</v>
      </c>
      <c r="C4" s="3" t="s">
        <v>19</v>
      </c>
      <c r="D4" s="3" t="s">
        <v>16</v>
      </c>
      <c r="E4" s="3">
        <v>28</v>
      </c>
      <c r="F4" s="3">
        <v>96</v>
      </c>
      <c r="G4" s="3">
        <v>88</v>
      </c>
      <c r="H4" s="3">
        <v>0</v>
      </c>
      <c r="I4" s="3">
        <v>4</v>
      </c>
      <c r="J4" s="10" t="str">
        <f t="shared" si="0"/>
        <v>Present</v>
      </c>
      <c r="K4" s="10" t="str">
        <f t="shared" si="1"/>
        <v>Pass</v>
      </c>
      <c r="L4" s="10" t="str">
        <f t="shared" si="2"/>
        <v>NO</v>
      </c>
      <c r="M4" s="14" t="str">
        <f t="shared" ref="M4:M11" si="10">IF(C4="Sales",IF( H4&gt;=40000,"Eligible","Not Eligible"),"NOT ELIGIBLE")</f>
        <v>NOT ELIGIBLE</v>
      </c>
      <c r="N4" s="14" t="str">
        <f t="shared" si="3"/>
        <v>High Performer</v>
      </c>
      <c r="O4" s="14" t="str">
        <f t="shared" si="4"/>
        <v>SPECIAL CATEGORY</v>
      </c>
      <c r="P4" s="26" t="str">
        <f t="shared" si="5"/>
        <v>Excellent</v>
      </c>
      <c r="Q4" s="26" t="str">
        <f t="shared" si="6"/>
        <v>No Incentive</v>
      </c>
      <c r="R4" s="35" t="str">
        <f t="shared" si="7"/>
        <v>Not Eligible</v>
      </c>
      <c r="S4" s="35" t="str">
        <f t="shared" si="8"/>
        <v>WFH</v>
      </c>
      <c r="T4" s="37" t="str">
        <f t="shared" si="9"/>
        <v>15% Hike</v>
      </c>
    </row>
    <row r="5" spans="1:22" x14ac:dyDescent="0.3">
      <c r="A5" s="3" t="s">
        <v>20</v>
      </c>
      <c r="B5" s="3" t="s">
        <v>21</v>
      </c>
      <c r="C5" s="3" t="s">
        <v>15</v>
      </c>
      <c r="D5" s="3" t="s">
        <v>12</v>
      </c>
      <c r="E5" s="3">
        <v>29</v>
      </c>
      <c r="F5" s="3">
        <v>70</v>
      </c>
      <c r="G5" s="3">
        <v>55</v>
      </c>
      <c r="H5" s="3">
        <v>30000</v>
      </c>
      <c r="I5" s="3">
        <v>3</v>
      </c>
      <c r="J5" s="10" t="str">
        <f t="shared" si="0"/>
        <v>Absent</v>
      </c>
      <c r="K5" s="10" t="str">
        <f t="shared" si="1"/>
        <v>Pass</v>
      </c>
      <c r="L5" s="10" t="str">
        <f t="shared" si="2"/>
        <v>Yes</v>
      </c>
      <c r="M5" s="14" t="s">
        <v>93</v>
      </c>
      <c r="N5" s="14" t="str">
        <f t="shared" si="3"/>
        <v>Normal</v>
      </c>
      <c r="O5" s="14" t="str">
        <f t="shared" si="4"/>
        <v>SPECIAL CATEGORY</v>
      </c>
      <c r="P5" s="26" t="str">
        <f t="shared" si="5"/>
        <v>Average</v>
      </c>
      <c r="Q5" s="26" t="str">
        <f t="shared" si="6"/>
        <v>10% incentive</v>
      </c>
      <c r="R5" s="35" t="str">
        <f t="shared" si="7"/>
        <v>Not Eligible</v>
      </c>
      <c r="S5" s="35" t="str">
        <f t="shared" si="8"/>
        <v>Warning</v>
      </c>
      <c r="T5" s="37" t="str">
        <f t="shared" si="9"/>
        <v>5% Hike</v>
      </c>
    </row>
    <row r="6" spans="1:22" x14ac:dyDescent="0.3">
      <c r="A6" s="3" t="s">
        <v>22</v>
      </c>
      <c r="B6" s="3" t="s">
        <v>23</v>
      </c>
      <c r="C6" s="3" t="s">
        <v>24</v>
      </c>
      <c r="D6" s="3" t="s">
        <v>16</v>
      </c>
      <c r="E6" s="3">
        <v>45</v>
      </c>
      <c r="F6" s="3">
        <v>88</v>
      </c>
      <c r="G6" s="3">
        <v>72</v>
      </c>
      <c r="H6" s="3">
        <v>0</v>
      </c>
      <c r="I6" s="3">
        <v>18</v>
      </c>
      <c r="J6" s="10" t="str">
        <f t="shared" si="0"/>
        <v>Present</v>
      </c>
      <c r="K6" s="10" t="str">
        <f t="shared" si="1"/>
        <v>Pass</v>
      </c>
      <c r="L6" s="10" t="str">
        <f t="shared" si="2"/>
        <v>NO</v>
      </c>
      <c r="M6" s="14" t="str">
        <f t="shared" si="10"/>
        <v>NOT ELIGIBLE</v>
      </c>
      <c r="N6" s="14" t="str">
        <f t="shared" si="3"/>
        <v>Normal</v>
      </c>
      <c r="O6" s="14" t="str">
        <f t="shared" si="4"/>
        <v>SPECIAL CATEGORY</v>
      </c>
      <c r="P6" s="26" t="str">
        <f t="shared" si="5"/>
        <v>Good</v>
      </c>
      <c r="Q6" s="26" t="str">
        <f t="shared" si="6"/>
        <v>No Incentive</v>
      </c>
      <c r="R6" s="35" t="str">
        <f t="shared" si="7"/>
        <v>Not Eligible</v>
      </c>
      <c r="S6" s="35" t="str">
        <f t="shared" si="8"/>
        <v>WFO</v>
      </c>
      <c r="T6" s="37" t="str">
        <f t="shared" si="9"/>
        <v>10% Hike</v>
      </c>
    </row>
    <row r="7" spans="1:22" x14ac:dyDescent="0.3">
      <c r="A7" s="3" t="s">
        <v>25</v>
      </c>
      <c r="B7" s="3" t="s">
        <v>26</v>
      </c>
      <c r="C7" s="3" t="s">
        <v>15</v>
      </c>
      <c r="D7" s="3" t="s">
        <v>12</v>
      </c>
      <c r="E7" s="3">
        <v>35</v>
      </c>
      <c r="F7" s="3">
        <v>91</v>
      </c>
      <c r="G7" s="3">
        <v>82</v>
      </c>
      <c r="H7" s="3">
        <v>60000</v>
      </c>
      <c r="I7" s="3">
        <v>10</v>
      </c>
      <c r="J7" s="10" t="str">
        <f t="shared" si="0"/>
        <v>Present</v>
      </c>
      <c r="K7" s="10" t="str">
        <f t="shared" si="1"/>
        <v>Pass</v>
      </c>
      <c r="L7" s="10" t="str">
        <f t="shared" si="2"/>
        <v>Yes</v>
      </c>
      <c r="M7" s="14" t="str">
        <f t="shared" si="10"/>
        <v>Eligible</v>
      </c>
      <c r="N7" s="14" t="str">
        <f t="shared" si="3"/>
        <v>High Performer</v>
      </c>
      <c r="O7" s="14" t="str">
        <f t="shared" si="4"/>
        <v>SPECIAL CATEGORY</v>
      </c>
      <c r="P7" s="26" t="str">
        <f t="shared" si="5"/>
        <v>Good</v>
      </c>
      <c r="Q7" s="26" t="str">
        <f t="shared" si="6"/>
        <v>50% incentive</v>
      </c>
      <c r="R7" s="35" t="str">
        <f t="shared" si="7"/>
        <v>Eligible</v>
      </c>
      <c r="S7" s="35" t="str">
        <f t="shared" si="8"/>
        <v>WFH</v>
      </c>
      <c r="T7" s="37" t="str">
        <f t="shared" si="9"/>
        <v>10% Hike</v>
      </c>
    </row>
    <row r="8" spans="1:22" x14ac:dyDescent="0.3">
      <c r="A8" s="3" t="s">
        <v>27</v>
      </c>
      <c r="B8" s="3" t="s">
        <v>28</v>
      </c>
      <c r="C8" s="3" t="s">
        <v>19</v>
      </c>
      <c r="D8" s="3" t="s">
        <v>16</v>
      </c>
      <c r="E8" s="3">
        <v>24</v>
      </c>
      <c r="F8" s="3">
        <v>60</v>
      </c>
      <c r="G8" s="3">
        <v>40</v>
      </c>
      <c r="H8" s="3">
        <v>0</v>
      </c>
      <c r="I8" s="3">
        <v>1</v>
      </c>
      <c r="J8" s="10" t="str">
        <f t="shared" si="0"/>
        <v>Absent</v>
      </c>
      <c r="K8" s="10" t="str">
        <f t="shared" si="1"/>
        <v>Fail</v>
      </c>
      <c r="L8" s="10" t="str">
        <f t="shared" si="2"/>
        <v>NO</v>
      </c>
      <c r="M8" s="14" t="str">
        <f t="shared" si="10"/>
        <v>NOT ELIGIBLE</v>
      </c>
      <c r="N8" s="14" t="str">
        <f t="shared" si="3"/>
        <v>Normal</v>
      </c>
      <c r="O8" s="14" t="str">
        <f t="shared" si="4"/>
        <v>SPECIAL CATEGORY</v>
      </c>
      <c r="P8" s="26" t="str">
        <f t="shared" si="5"/>
        <v>Poor</v>
      </c>
      <c r="Q8" s="26" t="str">
        <f t="shared" si="6"/>
        <v>No Incentive</v>
      </c>
      <c r="R8" s="35" t="str">
        <f t="shared" si="7"/>
        <v>Not Eligible</v>
      </c>
      <c r="S8" s="35" t="str">
        <f t="shared" si="8"/>
        <v>Warning</v>
      </c>
      <c r="T8" s="37" t="str">
        <f t="shared" si="9"/>
        <v>No Hike</v>
      </c>
    </row>
    <row r="9" spans="1:22" x14ac:dyDescent="0.3">
      <c r="A9" s="3" t="s">
        <v>29</v>
      </c>
      <c r="B9" s="3" t="s">
        <v>30</v>
      </c>
      <c r="C9" s="3" t="s">
        <v>11</v>
      </c>
      <c r="D9" s="3" t="s">
        <v>12</v>
      </c>
      <c r="E9" s="3">
        <v>31</v>
      </c>
      <c r="F9" s="3">
        <v>95</v>
      </c>
      <c r="G9" s="3">
        <v>90</v>
      </c>
      <c r="H9" s="3">
        <v>0</v>
      </c>
      <c r="I9" s="3">
        <v>7</v>
      </c>
      <c r="J9" s="10" t="str">
        <f t="shared" si="0"/>
        <v>Present</v>
      </c>
      <c r="K9" s="10" t="str">
        <f t="shared" si="1"/>
        <v>Pass</v>
      </c>
      <c r="L9" s="10" t="str">
        <f t="shared" si="2"/>
        <v>NO</v>
      </c>
      <c r="M9" s="14" t="str">
        <f t="shared" si="10"/>
        <v>NOT ELIGIBLE</v>
      </c>
      <c r="N9" s="14" t="str">
        <f t="shared" si="3"/>
        <v>High Performer</v>
      </c>
      <c r="O9" s="14" t="str">
        <f t="shared" si="4"/>
        <v>REGULAR</v>
      </c>
      <c r="P9" s="26" t="str">
        <f t="shared" si="5"/>
        <v>Excellent</v>
      </c>
      <c r="Q9" s="26" t="str">
        <f t="shared" si="6"/>
        <v>No Incentive</v>
      </c>
      <c r="R9" s="35" t="str">
        <f t="shared" si="7"/>
        <v>Eligible</v>
      </c>
      <c r="S9" s="35" t="str">
        <f t="shared" si="8"/>
        <v>WFH</v>
      </c>
      <c r="T9" s="37" t="str">
        <f t="shared" si="9"/>
        <v>15% Hike</v>
      </c>
    </row>
    <row r="10" spans="1:22" x14ac:dyDescent="0.3">
      <c r="A10" s="3" t="s">
        <v>31</v>
      </c>
      <c r="B10" s="3" t="s">
        <v>32</v>
      </c>
      <c r="C10" s="3" t="s">
        <v>15</v>
      </c>
      <c r="D10" s="3" t="s">
        <v>16</v>
      </c>
      <c r="E10" s="3">
        <v>27</v>
      </c>
      <c r="F10" s="3">
        <v>89</v>
      </c>
      <c r="G10" s="3">
        <v>68</v>
      </c>
      <c r="H10" s="3">
        <v>38000</v>
      </c>
      <c r="I10" s="3">
        <v>4</v>
      </c>
      <c r="J10" s="10" t="str">
        <f t="shared" si="0"/>
        <v>Present</v>
      </c>
      <c r="K10" s="10" t="str">
        <f t="shared" si="1"/>
        <v>Pass</v>
      </c>
      <c r="L10" s="10" t="str">
        <f t="shared" si="2"/>
        <v>Yes</v>
      </c>
      <c r="M10" s="14" t="str">
        <f t="shared" si="10"/>
        <v>Not Eligible</v>
      </c>
      <c r="N10" s="14" t="str">
        <f t="shared" si="3"/>
        <v>Normal</v>
      </c>
      <c r="O10" s="14" t="str">
        <f t="shared" si="4"/>
        <v>SPECIAL CATEGORY</v>
      </c>
      <c r="P10" s="26" t="str">
        <f t="shared" si="5"/>
        <v>Average</v>
      </c>
      <c r="Q10" s="26" t="str">
        <f t="shared" si="6"/>
        <v>10% incentive</v>
      </c>
      <c r="R10" s="35" t="str">
        <f t="shared" si="7"/>
        <v>Not Eligible</v>
      </c>
      <c r="S10" s="35" t="str">
        <f t="shared" si="8"/>
        <v>WFO</v>
      </c>
      <c r="T10" s="37" t="str">
        <f t="shared" si="9"/>
        <v>5% Hike</v>
      </c>
    </row>
    <row r="11" spans="1:22" x14ac:dyDescent="0.3">
      <c r="A11" s="3" t="s">
        <v>33</v>
      </c>
      <c r="B11" s="3" t="s">
        <v>34</v>
      </c>
      <c r="C11" s="3" t="s">
        <v>24</v>
      </c>
      <c r="D11" s="3" t="s">
        <v>12</v>
      </c>
      <c r="E11" s="3">
        <v>41</v>
      </c>
      <c r="F11" s="3">
        <v>76</v>
      </c>
      <c r="G11" s="3">
        <v>58</v>
      </c>
      <c r="H11" s="3">
        <v>0</v>
      </c>
      <c r="I11" s="3">
        <v>15</v>
      </c>
      <c r="J11" s="10" t="str">
        <f t="shared" si="0"/>
        <v>Present</v>
      </c>
      <c r="K11" s="10" t="str">
        <f t="shared" si="1"/>
        <v>Pass</v>
      </c>
      <c r="L11" s="10" t="str">
        <f t="shared" si="2"/>
        <v>NO</v>
      </c>
      <c r="M11" s="14" t="str">
        <f t="shared" si="10"/>
        <v>NOT ELIGIBLE</v>
      </c>
      <c r="N11" s="14" t="str">
        <f t="shared" si="3"/>
        <v>Normal</v>
      </c>
      <c r="O11" s="14" t="str">
        <f t="shared" si="4"/>
        <v>SPECIAL CATEGORY</v>
      </c>
      <c r="P11" s="26" t="str">
        <f t="shared" si="5"/>
        <v>Average</v>
      </c>
      <c r="Q11" s="26" t="str">
        <f t="shared" si="6"/>
        <v>No Incentive</v>
      </c>
      <c r="R11" s="35" t="str">
        <f t="shared" si="7"/>
        <v>Not Eligible</v>
      </c>
      <c r="S11" s="35" t="str">
        <f t="shared" si="8"/>
        <v>WFO</v>
      </c>
      <c r="T11" s="37" t="str">
        <f t="shared" si="9"/>
        <v>5% Hike</v>
      </c>
    </row>
    <row r="12" spans="1:22" x14ac:dyDescent="0.3">
      <c r="J12" s="10"/>
      <c r="K12" s="10"/>
      <c r="L12" s="10"/>
      <c r="M12" s="14"/>
      <c r="N12" s="14"/>
      <c r="O12" s="14"/>
      <c r="P12" s="26"/>
      <c r="Q12" s="26"/>
      <c r="R12" s="35"/>
      <c r="S12" s="35"/>
      <c r="T12" s="37" t="str">
        <f>IF(P12="Excellent","15% Hike",IF(P12="Good","10% Hike",IF(P12="Average","5% Hike","No Hike")))</f>
        <v>No Hike</v>
      </c>
    </row>
    <row r="14" spans="1:22" ht="23.4" x14ac:dyDescent="0.3">
      <c r="A14" s="12" t="s">
        <v>35</v>
      </c>
      <c r="B14" s="4"/>
      <c r="C14" s="15" t="s">
        <v>45</v>
      </c>
      <c r="D14" s="14"/>
      <c r="E14" s="14"/>
      <c r="F14" s="16"/>
      <c r="G14" s="14"/>
    </row>
    <row r="15" spans="1:22" x14ac:dyDescent="0.3">
      <c r="A15" s="11"/>
      <c r="B15" s="4"/>
      <c r="C15" s="17"/>
      <c r="D15" s="14"/>
      <c r="E15" s="14"/>
      <c r="F15" s="16"/>
      <c r="G15" s="14"/>
    </row>
    <row r="16" spans="1:22" ht="14.4" customHeight="1" x14ac:dyDescent="0.3">
      <c r="A16" s="11" t="s">
        <v>36</v>
      </c>
      <c r="B16" s="4"/>
      <c r="C16" s="18" t="s">
        <v>46</v>
      </c>
      <c r="D16" s="14"/>
      <c r="E16" s="14"/>
      <c r="F16" s="16"/>
      <c r="G16" s="14"/>
    </row>
    <row r="17" spans="1:7" x14ac:dyDescent="0.3">
      <c r="A17" s="11"/>
      <c r="B17" s="4"/>
      <c r="C17" s="17"/>
      <c r="D17" s="14"/>
      <c r="E17" s="14"/>
      <c r="F17" s="16"/>
      <c r="G17" s="14"/>
    </row>
    <row r="18" spans="1:7" ht="14.4" customHeight="1" x14ac:dyDescent="0.3">
      <c r="A18" s="11" t="s">
        <v>37</v>
      </c>
      <c r="B18" s="4"/>
      <c r="C18" s="17"/>
      <c r="D18" s="14"/>
      <c r="E18" s="14"/>
      <c r="F18" s="16"/>
      <c r="G18" s="14"/>
    </row>
    <row r="19" spans="1:7" x14ac:dyDescent="0.3">
      <c r="A19" s="11"/>
      <c r="B19" s="4"/>
      <c r="C19" s="19"/>
      <c r="D19" s="14"/>
      <c r="E19" s="14"/>
      <c r="F19" s="16"/>
      <c r="G19" s="14"/>
    </row>
    <row r="20" spans="1:7" x14ac:dyDescent="0.3">
      <c r="A20" s="11" t="s">
        <v>38</v>
      </c>
      <c r="B20" s="4"/>
      <c r="C20" s="19" t="s">
        <v>47</v>
      </c>
      <c r="D20" s="14"/>
      <c r="E20" s="14"/>
      <c r="F20" s="16"/>
      <c r="G20" s="14"/>
    </row>
    <row r="21" spans="1:7" x14ac:dyDescent="0.3">
      <c r="A21" s="11"/>
      <c r="B21" s="4"/>
      <c r="C21" s="19"/>
      <c r="D21" s="14"/>
      <c r="E21" s="14"/>
      <c r="F21" s="16"/>
      <c r="G21" s="14"/>
    </row>
    <row r="22" spans="1:7" x14ac:dyDescent="0.3">
      <c r="A22" s="11" t="s">
        <v>39</v>
      </c>
      <c r="B22" s="4"/>
      <c r="C22" s="19"/>
      <c r="D22" s="14"/>
      <c r="E22" s="14"/>
      <c r="F22" s="16"/>
      <c r="G22" s="14"/>
    </row>
    <row r="23" spans="1:7" x14ac:dyDescent="0.3">
      <c r="A23" s="11"/>
      <c r="B23" s="4"/>
      <c r="C23" s="20"/>
      <c r="D23" s="14"/>
      <c r="E23" s="14"/>
      <c r="F23" s="16"/>
      <c r="G23" s="14"/>
    </row>
    <row r="24" spans="1:7" ht="14.4" customHeight="1" x14ac:dyDescent="0.3">
      <c r="A24" s="11" t="s">
        <v>40</v>
      </c>
      <c r="B24" s="4"/>
      <c r="C24" s="21" t="s">
        <v>48</v>
      </c>
      <c r="D24" s="14"/>
      <c r="E24" s="14"/>
      <c r="F24" s="16"/>
      <c r="G24" s="14"/>
    </row>
    <row r="25" spans="1:7" x14ac:dyDescent="0.3">
      <c r="A25" s="11"/>
      <c r="B25" s="4"/>
      <c r="C25" s="20"/>
      <c r="D25" s="14"/>
      <c r="E25" s="14"/>
      <c r="F25" s="16"/>
      <c r="G25" s="14"/>
    </row>
    <row r="26" spans="1:7" ht="15" x14ac:dyDescent="0.3">
      <c r="A26" s="11" t="s">
        <v>41</v>
      </c>
      <c r="B26" s="4"/>
      <c r="C26" s="21" t="s">
        <v>49</v>
      </c>
      <c r="D26" s="14"/>
      <c r="E26" s="14"/>
      <c r="F26" s="16"/>
      <c r="G26" s="14"/>
    </row>
    <row r="27" spans="1:7" x14ac:dyDescent="0.3">
      <c r="A27" s="11"/>
      <c r="B27" s="4"/>
      <c r="C27" s="19"/>
      <c r="D27" s="14"/>
      <c r="E27" s="14"/>
      <c r="F27" s="16"/>
      <c r="G27" s="14"/>
    </row>
    <row r="28" spans="1:7" ht="14.4" customHeight="1" x14ac:dyDescent="0.3">
      <c r="A28" s="11" t="s">
        <v>42</v>
      </c>
      <c r="B28" s="4"/>
      <c r="C28" s="19" t="s">
        <v>50</v>
      </c>
      <c r="D28" s="14"/>
      <c r="E28" s="14"/>
      <c r="F28" s="16"/>
      <c r="G28" s="14"/>
    </row>
    <row r="29" spans="1:7" x14ac:dyDescent="0.3">
      <c r="A29" s="11"/>
      <c r="B29" s="4"/>
      <c r="C29" s="17"/>
      <c r="D29" s="14"/>
      <c r="E29" s="14"/>
      <c r="F29" s="16"/>
      <c r="G29" s="14"/>
    </row>
    <row r="30" spans="1:7" ht="14.4" customHeight="1" x14ac:dyDescent="0.3">
      <c r="A30" s="11" t="s">
        <v>43</v>
      </c>
      <c r="B30" s="4"/>
      <c r="C30" s="18" t="s">
        <v>51</v>
      </c>
      <c r="D30" s="14"/>
      <c r="E30" s="14"/>
      <c r="F30" s="16"/>
      <c r="G30" s="14"/>
    </row>
    <row r="31" spans="1:7" x14ac:dyDescent="0.3">
      <c r="A31" s="11"/>
      <c r="B31" s="4"/>
      <c r="C31" s="17"/>
      <c r="D31" s="14"/>
      <c r="E31" s="14"/>
      <c r="F31" s="16"/>
      <c r="G31" s="14"/>
    </row>
    <row r="32" spans="1:7" x14ac:dyDescent="0.3">
      <c r="A32" s="11" t="s">
        <v>44</v>
      </c>
      <c r="B32" s="4"/>
      <c r="C32" s="17"/>
      <c r="D32" s="14"/>
      <c r="E32" s="14"/>
      <c r="F32" s="16"/>
      <c r="G32" s="14"/>
    </row>
    <row r="33" spans="1:14" x14ac:dyDescent="0.3">
      <c r="A33" s="4"/>
      <c r="B33" s="4"/>
      <c r="C33" s="19"/>
      <c r="D33" s="14"/>
      <c r="E33" s="14"/>
      <c r="F33" s="16"/>
      <c r="G33" s="14"/>
    </row>
    <row r="34" spans="1:14" ht="15" x14ac:dyDescent="0.3">
      <c r="A34" s="4"/>
      <c r="B34" s="4"/>
      <c r="C34" s="19" t="s">
        <v>52</v>
      </c>
      <c r="D34" s="14"/>
      <c r="E34" s="14"/>
      <c r="F34" s="16"/>
      <c r="G34" s="14"/>
    </row>
    <row r="35" spans="1:14" x14ac:dyDescent="0.3">
      <c r="A35" s="4"/>
      <c r="B35" s="4"/>
      <c r="C35" s="19"/>
      <c r="D35" s="14"/>
      <c r="E35" s="14"/>
      <c r="F35" s="16"/>
      <c r="G35" s="14"/>
    </row>
    <row r="36" spans="1:14" ht="15" x14ac:dyDescent="0.3">
      <c r="A36" s="4"/>
      <c r="B36" s="4"/>
      <c r="C36" s="19" t="s">
        <v>53</v>
      </c>
      <c r="D36" s="14"/>
      <c r="E36" s="14"/>
      <c r="F36" s="16"/>
      <c r="G36" s="14"/>
    </row>
    <row r="37" spans="1:14" x14ac:dyDescent="0.3">
      <c r="A37" s="4"/>
      <c r="B37" s="4"/>
      <c r="C37" s="17"/>
      <c r="D37" s="14"/>
      <c r="E37" s="14"/>
      <c r="F37" s="16"/>
      <c r="G37" s="14"/>
    </row>
    <row r="38" spans="1:14" x14ac:dyDescent="0.3">
      <c r="A38" s="4"/>
      <c r="B38" s="4"/>
      <c r="C38" s="18" t="s">
        <v>54</v>
      </c>
      <c r="D38" s="14"/>
      <c r="E38" s="14"/>
      <c r="F38" s="16"/>
      <c r="G38" s="14"/>
    </row>
    <row r="39" spans="1:14" x14ac:dyDescent="0.3">
      <c r="C39" s="17"/>
      <c r="D39" s="14"/>
      <c r="E39" s="14"/>
      <c r="F39" s="14"/>
      <c r="G39" s="14"/>
    </row>
    <row r="40" spans="1:14" x14ac:dyDescent="0.3">
      <c r="C40" s="17"/>
      <c r="D40" s="14"/>
      <c r="E40" s="14"/>
      <c r="F40" s="14"/>
      <c r="G40" s="14"/>
    </row>
    <row r="41" spans="1:14" x14ac:dyDescent="0.3">
      <c r="C41" s="19"/>
      <c r="D41" s="14"/>
      <c r="E41" s="14"/>
      <c r="F41" s="14"/>
      <c r="G41" s="14"/>
    </row>
    <row r="42" spans="1:14" ht="15" x14ac:dyDescent="0.3">
      <c r="C42" s="19" t="s">
        <v>55</v>
      </c>
      <c r="D42" s="14"/>
      <c r="E42" s="14"/>
      <c r="F42" s="14"/>
      <c r="G42" s="14"/>
    </row>
    <row r="43" spans="1:14" x14ac:dyDescent="0.3">
      <c r="C43" s="19"/>
      <c r="D43" s="14"/>
      <c r="E43" s="14"/>
      <c r="F43" s="14"/>
      <c r="G43" s="14"/>
    </row>
    <row r="44" spans="1:14" ht="15" x14ac:dyDescent="0.3">
      <c r="C44" s="19" t="s">
        <v>56</v>
      </c>
      <c r="D44" s="14"/>
      <c r="E44" s="14"/>
      <c r="F44" s="14"/>
      <c r="G44" s="14"/>
    </row>
    <row r="45" spans="1:14" x14ac:dyDescent="0.3">
      <c r="C45" s="14"/>
      <c r="D45" s="14"/>
      <c r="E45" s="14"/>
      <c r="F45" s="14"/>
      <c r="G45" s="14"/>
    </row>
    <row r="47" spans="1:14" ht="23.4" x14ac:dyDescent="0.3">
      <c r="A47" s="22" t="s">
        <v>57</v>
      </c>
      <c r="C47" s="28" t="s">
        <v>68</v>
      </c>
      <c r="D47" s="29"/>
      <c r="E47" s="29"/>
      <c r="F47" s="29"/>
      <c r="G47" s="29"/>
      <c r="H47" s="29"/>
      <c r="I47" s="36" t="s">
        <v>78</v>
      </c>
      <c r="J47" s="37"/>
      <c r="K47" s="37"/>
      <c r="L47" s="37"/>
      <c r="M47" s="37"/>
      <c r="N47" s="37"/>
    </row>
    <row r="48" spans="1:14" x14ac:dyDescent="0.3">
      <c r="A48" s="23"/>
      <c r="C48" s="30"/>
      <c r="D48" s="29"/>
      <c r="E48" s="29"/>
      <c r="F48" s="29"/>
      <c r="G48" s="29"/>
      <c r="H48" s="29"/>
      <c r="I48" s="38"/>
      <c r="J48" s="37"/>
      <c r="K48" s="37"/>
      <c r="L48" s="37"/>
      <c r="M48" s="37"/>
      <c r="N48" s="37"/>
    </row>
    <row r="49" spans="1:14" x14ac:dyDescent="0.3">
      <c r="A49" s="24" t="s">
        <v>58</v>
      </c>
      <c r="C49" s="31" t="s">
        <v>69</v>
      </c>
      <c r="D49" s="29"/>
      <c r="E49" s="29"/>
      <c r="F49" s="29"/>
      <c r="G49" s="29"/>
      <c r="H49" s="29"/>
      <c r="I49" s="39" t="s">
        <v>79</v>
      </c>
      <c r="J49" s="37"/>
      <c r="K49" s="37"/>
      <c r="L49" s="37"/>
      <c r="M49" s="37"/>
      <c r="N49" s="37"/>
    </row>
    <row r="50" spans="1:14" x14ac:dyDescent="0.3">
      <c r="A50" s="23"/>
      <c r="C50" s="30"/>
      <c r="D50" s="29"/>
      <c r="E50" s="29"/>
      <c r="F50" s="29"/>
      <c r="G50" s="29"/>
      <c r="H50" s="29"/>
      <c r="I50" s="38"/>
      <c r="J50" s="37"/>
      <c r="K50" s="37"/>
      <c r="L50" s="37"/>
      <c r="M50" s="37"/>
      <c r="N50" s="37"/>
    </row>
    <row r="51" spans="1:14" ht="15" x14ac:dyDescent="0.3">
      <c r="A51" s="23"/>
      <c r="C51" s="30"/>
      <c r="D51" s="29"/>
      <c r="E51" s="29"/>
      <c r="F51" s="29"/>
      <c r="G51" s="29"/>
      <c r="H51" s="29"/>
      <c r="I51" s="38" t="s">
        <v>80</v>
      </c>
      <c r="J51" s="37"/>
      <c r="K51" s="37"/>
      <c r="L51" s="37"/>
      <c r="M51" s="37"/>
      <c r="N51" s="37"/>
    </row>
    <row r="52" spans="1:14" x14ac:dyDescent="0.3">
      <c r="A52" s="25"/>
      <c r="C52" s="32"/>
      <c r="D52" s="29"/>
      <c r="E52" s="29"/>
      <c r="F52" s="29"/>
      <c r="G52" s="29"/>
      <c r="H52" s="29"/>
      <c r="I52" s="38"/>
      <c r="J52" s="37"/>
      <c r="K52" s="37"/>
      <c r="L52" s="37"/>
      <c r="M52" s="37"/>
      <c r="N52" s="37"/>
    </row>
    <row r="53" spans="1:14" ht="15" x14ac:dyDescent="0.3">
      <c r="A53" s="25" t="s">
        <v>59</v>
      </c>
      <c r="C53" s="32" t="s">
        <v>70</v>
      </c>
      <c r="D53" s="29"/>
      <c r="E53" s="29"/>
      <c r="F53" s="29"/>
      <c r="G53" s="29"/>
      <c r="H53" s="29"/>
      <c r="I53" s="38" t="s">
        <v>81</v>
      </c>
      <c r="J53" s="37"/>
      <c r="K53" s="37"/>
      <c r="L53" s="37"/>
      <c r="M53" s="37"/>
      <c r="N53" s="37"/>
    </row>
    <row r="54" spans="1:14" x14ac:dyDescent="0.3">
      <c r="A54" s="25"/>
      <c r="C54" s="32"/>
      <c r="D54" s="29"/>
      <c r="E54" s="29"/>
      <c r="F54" s="29"/>
      <c r="G54" s="29"/>
      <c r="H54" s="29"/>
      <c r="I54" s="38"/>
      <c r="J54" s="37"/>
      <c r="K54" s="37"/>
      <c r="L54" s="37"/>
      <c r="M54" s="37"/>
      <c r="N54" s="37"/>
    </row>
    <row r="55" spans="1:14" ht="15" x14ac:dyDescent="0.3">
      <c r="A55" s="25" t="s">
        <v>60</v>
      </c>
      <c r="C55" s="32" t="s">
        <v>71</v>
      </c>
      <c r="D55" s="29"/>
      <c r="E55" s="29"/>
      <c r="F55" s="29"/>
      <c r="G55" s="29"/>
      <c r="H55" s="29"/>
      <c r="I55" s="38" t="s">
        <v>82</v>
      </c>
      <c r="J55" s="37"/>
      <c r="K55" s="37"/>
      <c r="L55" s="37"/>
      <c r="M55" s="37"/>
      <c r="N55" s="37"/>
    </row>
    <row r="56" spans="1:14" x14ac:dyDescent="0.3">
      <c r="A56" s="25"/>
      <c r="C56" s="32"/>
      <c r="D56" s="29"/>
      <c r="E56" s="29"/>
      <c r="F56" s="29"/>
      <c r="G56" s="29"/>
      <c r="H56" s="29"/>
      <c r="I56" s="38"/>
      <c r="J56" s="37"/>
      <c r="K56" s="37"/>
      <c r="L56" s="37"/>
      <c r="M56" s="37"/>
      <c r="N56" s="37"/>
    </row>
    <row r="57" spans="1:14" ht="15" x14ac:dyDescent="0.3">
      <c r="A57" s="25" t="s">
        <v>61</v>
      </c>
      <c r="C57" s="32" t="s">
        <v>72</v>
      </c>
      <c r="D57" s="29"/>
      <c r="E57" s="29"/>
      <c r="F57" s="29"/>
      <c r="G57" s="29"/>
      <c r="H57" s="29"/>
      <c r="I57" s="38" t="s">
        <v>83</v>
      </c>
      <c r="J57" s="37"/>
      <c r="K57" s="37"/>
      <c r="L57" s="37"/>
      <c r="M57" s="37"/>
      <c r="N57" s="37"/>
    </row>
    <row r="58" spans="1:14" x14ac:dyDescent="0.3">
      <c r="A58" s="25"/>
      <c r="C58" s="32"/>
      <c r="D58" s="29"/>
      <c r="E58" s="29"/>
      <c r="F58" s="29"/>
      <c r="G58" s="29"/>
      <c r="H58" s="29"/>
      <c r="I58" s="37"/>
      <c r="J58" s="37"/>
      <c r="K58" s="37"/>
      <c r="L58" s="37"/>
      <c r="M58" s="37"/>
      <c r="N58" s="37"/>
    </row>
    <row r="59" spans="1:14" ht="15" x14ac:dyDescent="0.3">
      <c r="A59" s="25" t="s">
        <v>62</v>
      </c>
      <c r="C59" s="32" t="s">
        <v>73</v>
      </c>
      <c r="D59" s="29"/>
      <c r="E59" s="29"/>
      <c r="F59" s="29"/>
      <c r="G59" s="29"/>
      <c r="H59" s="29"/>
      <c r="I59" s="37" t="s">
        <v>84</v>
      </c>
      <c r="J59" s="37"/>
      <c r="K59" s="37"/>
      <c r="L59" s="37"/>
      <c r="M59" s="37"/>
      <c r="N59" s="37"/>
    </row>
    <row r="60" spans="1:14" x14ac:dyDescent="0.3">
      <c r="A60" s="23"/>
      <c r="C60" s="30"/>
      <c r="D60" s="29"/>
      <c r="E60" s="29"/>
      <c r="F60" s="29"/>
      <c r="G60" s="29"/>
      <c r="H60" s="29"/>
      <c r="I60" s="37"/>
      <c r="J60" s="37"/>
      <c r="K60" s="37"/>
      <c r="L60" s="37"/>
      <c r="M60" s="37"/>
      <c r="N60" s="37"/>
    </row>
    <row r="61" spans="1:14" x14ac:dyDescent="0.3">
      <c r="A61" s="24" t="s">
        <v>63</v>
      </c>
      <c r="C61" s="31" t="s">
        <v>74</v>
      </c>
      <c r="D61" s="29"/>
      <c r="E61" s="29"/>
      <c r="F61" s="29"/>
      <c r="G61" s="29"/>
      <c r="H61" s="29"/>
      <c r="I61" s="37"/>
      <c r="J61" s="37"/>
      <c r="K61" s="37"/>
      <c r="L61" s="37"/>
      <c r="M61" s="37"/>
      <c r="N61" s="37"/>
    </row>
    <row r="62" spans="1:14" x14ac:dyDescent="0.3">
      <c r="A62" s="23"/>
      <c r="C62" s="30"/>
      <c r="D62" s="29"/>
      <c r="E62" s="29"/>
      <c r="F62" s="29"/>
      <c r="G62" s="29"/>
      <c r="H62" s="29"/>
    </row>
    <row r="63" spans="1:14" ht="15" x14ac:dyDescent="0.3">
      <c r="A63" s="23"/>
      <c r="C63" s="30" t="s">
        <v>75</v>
      </c>
      <c r="D63" s="29"/>
      <c r="E63" s="29"/>
      <c r="F63" s="29"/>
      <c r="G63" s="29"/>
      <c r="H63" s="29"/>
    </row>
    <row r="64" spans="1:14" x14ac:dyDescent="0.3">
      <c r="A64" s="25"/>
      <c r="C64" s="30"/>
      <c r="D64" s="29"/>
      <c r="E64" s="29"/>
      <c r="F64" s="29"/>
      <c r="G64" s="29"/>
      <c r="H64" s="29"/>
    </row>
    <row r="65" spans="1:8" ht="15" x14ac:dyDescent="0.3">
      <c r="A65" s="25" t="s">
        <v>64</v>
      </c>
      <c r="C65" s="30" t="s">
        <v>76</v>
      </c>
      <c r="D65" s="29"/>
      <c r="E65" s="29"/>
      <c r="F65" s="29"/>
      <c r="G65" s="29"/>
      <c r="H65" s="29"/>
    </row>
    <row r="66" spans="1:8" x14ac:dyDescent="0.3">
      <c r="A66" s="25"/>
      <c r="C66" s="30"/>
      <c r="D66" s="29"/>
      <c r="E66" s="29"/>
      <c r="F66" s="29"/>
      <c r="G66" s="29"/>
      <c r="H66" s="29"/>
    </row>
    <row r="67" spans="1:8" ht="15" x14ac:dyDescent="0.3">
      <c r="A67" s="25" t="s">
        <v>65</v>
      </c>
      <c r="C67" s="30" t="s">
        <v>77</v>
      </c>
      <c r="D67" s="29"/>
      <c r="E67" s="29"/>
      <c r="F67" s="29"/>
      <c r="G67" s="29"/>
      <c r="H67" s="29"/>
    </row>
    <row r="68" spans="1:8" x14ac:dyDescent="0.3">
      <c r="A68" s="25"/>
      <c r="C68" s="29"/>
      <c r="D68" s="29"/>
      <c r="E68" s="29"/>
      <c r="F68" s="29"/>
      <c r="G68" s="29"/>
      <c r="H68" s="29"/>
    </row>
    <row r="69" spans="1:8" ht="15" x14ac:dyDescent="0.3">
      <c r="A69" s="25" t="s">
        <v>66</v>
      </c>
    </row>
    <row r="70" spans="1:8" x14ac:dyDescent="0.3">
      <c r="A70" s="25"/>
    </row>
    <row r="71" spans="1:8" ht="15" x14ac:dyDescent="0.3">
      <c r="A71" s="25" t="s">
        <v>67</v>
      </c>
    </row>
    <row r="72" spans="1:8" x14ac:dyDescent="0.3">
      <c r="A72" s="26"/>
    </row>
    <row r="74" spans="1:8" ht="23.4" x14ac:dyDescent="0.3">
      <c r="A74" s="5" t="s">
        <v>97</v>
      </c>
    </row>
    <row r="75" spans="1:8" x14ac:dyDescent="0.3">
      <c r="A75" s="6"/>
    </row>
    <row r="76" spans="1:8" x14ac:dyDescent="0.3">
      <c r="A76" s="6" t="s">
        <v>98</v>
      </c>
      <c r="D76" s="68">
        <f>COUNTIF(C2:C11,"Sales")</f>
        <v>4</v>
      </c>
    </row>
    <row r="77" spans="1:8" x14ac:dyDescent="0.3">
      <c r="A77" s="6"/>
      <c r="D77" s="68"/>
    </row>
    <row r="78" spans="1:8" x14ac:dyDescent="0.3">
      <c r="A78" s="6" t="s">
        <v>99</v>
      </c>
      <c r="D78" s="68">
        <f>COUNTIF(D2:D11,"F")</f>
        <v>5</v>
      </c>
    </row>
    <row r="79" spans="1:8" x14ac:dyDescent="0.3">
      <c r="A79" s="6"/>
      <c r="D79" s="68"/>
    </row>
    <row r="80" spans="1:8" x14ac:dyDescent="0.3">
      <c r="A80" s="6" t="s">
        <v>100</v>
      </c>
      <c r="D80" s="68">
        <f>COUNTIF(F2:F11,"&gt;=90")</f>
        <v>4</v>
      </c>
    </row>
    <row r="81" spans="1:4" x14ac:dyDescent="0.3">
      <c r="A81" s="6"/>
      <c r="D81" s="68"/>
    </row>
    <row r="82" spans="1:4" x14ac:dyDescent="0.3">
      <c r="A82" s="6" t="s">
        <v>101</v>
      </c>
      <c r="D82" s="68">
        <f>COUNTIF(G2:G11,"&gt;=50")</f>
        <v>9</v>
      </c>
    </row>
    <row r="83" spans="1:4" x14ac:dyDescent="0.3">
      <c r="A83" s="6"/>
      <c r="D83" s="68"/>
    </row>
    <row r="84" spans="1:4" x14ac:dyDescent="0.3">
      <c r="A84" s="6" t="s">
        <v>102</v>
      </c>
      <c r="D84" s="68">
        <f>COUNTIF(I2:I11,"&gt;5")</f>
        <v>5</v>
      </c>
    </row>
    <row r="88" spans="1:4" ht="23.4" x14ac:dyDescent="0.3">
      <c r="A88" s="5" t="s">
        <v>103</v>
      </c>
    </row>
    <row r="89" spans="1:4" x14ac:dyDescent="0.3">
      <c r="A89" s="6"/>
    </row>
    <row r="90" spans="1:4" x14ac:dyDescent="0.3">
      <c r="A90" s="6" t="s">
        <v>104</v>
      </c>
      <c r="C90" s="77">
        <f>COUNTIFS(C2:C11,"Sales",H2:H11,"&gt;=40000")</f>
        <v>2</v>
      </c>
    </row>
    <row r="91" spans="1:4" x14ac:dyDescent="0.3">
      <c r="A91" s="8" t="s">
        <v>105</v>
      </c>
      <c r="C91" s="77"/>
    </row>
    <row r="92" spans="1:4" x14ac:dyDescent="0.3">
      <c r="A92" s="8" t="s">
        <v>49</v>
      </c>
      <c r="C92" s="77"/>
    </row>
    <row r="93" spans="1:4" x14ac:dyDescent="0.3">
      <c r="A93" s="6"/>
      <c r="C93" s="68"/>
    </row>
    <row r="94" spans="1:4" x14ac:dyDescent="0.3">
      <c r="A94" s="6" t="s">
        <v>106</v>
      </c>
      <c r="C94" s="68">
        <f>COUNTIFS(C2:C11,"IT",D2:D11,"M")</f>
        <v>2</v>
      </c>
    </row>
    <row r="95" spans="1:4" x14ac:dyDescent="0.3">
      <c r="A95" s="6"/>
      <c r="C95" s="68"/>
    </row>
    <row r="96" spans="1:4" x14ac:dyDescent="0.3">
      <c r="A96" s="6" t="s">
        <v>107</v>
      </c>
      <c r="C96" s="77">
        <f>COUNTIFS(F2:F11,"&gt;=85",G2:G11,"&gt;70")</f>
        <v>5</v>
      </c>
    </row>
    <row r="97" spans="1:4" x14ac:dyDescent="0.3">
      <c r="A97" s="8" t="s">
        <v>108</v>
      </c>
      <c r="C97" s="77"/>
    </row>
    <row r="98" spans="1:4" x14ac:dyDescent="0.3">
      <c r="A98" s="8" t="s">
        <v>109</v>
      </c>
      <c r="C98" s="77"/>
    </row>
    <row r="99" spans="1:4" x14ac:dyDescent="0.3">
      <c r="A99" s="6"/>
      <c r="C99" s="68"/>
    </row>
    <row r="100" spans="1:4" x14ac:dyDescent="0.3">
      <c r="A100" s="6" t="s">
        <v>110</v>
      </c>
      <c r="C100" s="77">
        <f>COUNTIFS(D2:D11,"F",I2:I11,"&gt;=5")</f>
        <v>3</v>
      </c>
    </row>
    <row r="101" spans="1:4" x14ac:dyDescent="0.3">
      <c r="A101" s="41" t="s">
        <v>111</v>
      </c>
      <c r="C101" s="77"/>
    </row>
    <row r="102" spans="1:4" x14ac:dyDescent="0.3">
      <c r="A102" s="8" t="s">
        <v>112</v>
      </c>
      <c r="C102" s="77"/>
    </row>
    <row r="103" spans="1:4" x14ac:dyDescent="0.3">
      <c r="A103" s="6"/>
      <c r="C103" s="68"/>
    </row>
    <row r="104" spans="1:4" x14ac:dyDescent="0.3">
      <c r="A104" s="6" t="s">
        <v>113</v>
      </c>
      <c r="C104" s="77">
        <f>COUNTIFS(E2:E11,"&lt;30",C2:C11,"&lt;&gt;Sales")</f>
        <v>3</v>
      </c>
    </row>
    <row r="105" spans="1:4" x14ac:dyDescent="0.3">
      <c r="A105" s="7" t="s">
        <v>114</v>
      </c>
      <c r="C105" s="77"/>
    </row>
    <row r="106" spans="1:4" x14ac:dyDescent="0.3">
      <c r="A106" s="6" t="s">
        <v>115</v>
      </c>
      <c r="C106" s="77"/>
    </row>
    <row r="110" spans="1:4" ht="23.4" x14ac:dyDescent="0.3">
      <c r="A110" s="5" t="s">
        <v>116</v>
      </c>
    </row>
    <row r="111" spans="1:4" x14ac:dyDescent="0.3">
      <c r="A111" s="6"/>
    </row>
    <row r="112" spans="1:4" x14ac:dyDescent="0.3">
      <c r="A112" s="6" t="s">
        <v>117</v>
      </c>
      <c r="D112" s="68">
        <f>SUMIF(C2:C11,"Sales",H2:H11)</f>
        <v>173000</v>
      </c>
    </row>
    <row r="113" spans="1:4" x14ac:dyDescent="0.3">
      <c r="A113" s="6"/>
      <c r="D113" s="68"/>
    </row>
    <row r="114" spans="1:4" x14ac:dyDescent="0.3">
      <c r="A114" s="6" t="s">
        <v>118</v>
      </c>
      <c r="D114" s="68">
        <f>SUMIF(H2:H11,"&gt;=30000")</f>
        <v>173000</v>
      </c>
    </row>
    <row r="115" spans="1:4" x14ac:dyDescent="0.3">
      <c r="A115" s="6"/>
      <c r="D115" s="68"/>
    </row>
    <row r="116" spans="1:4" x14ac:dyDescent="0.3">
      <c r="A116" s="6" t="s">
        <v>119</v>
      </c>
      <c r="D116" s="68">
        <f>SUMIF(C2:C11,"Finance",I2:I11)</f>
        <v>33</v>
      </c>
    </row>
    <row r="120" spans="1:4" ht="23.4" x14ac:dyDescent="0.3">
      <c r="A120" s="5" t="s">
        <v>120</v>
      </c>
    </row>
    <row r="121" spans="1:4" x14ac:dyDescent="0.3">
      <c r="A121" s="6"/>
    </row>
    <row r="122" spans="1:4" x14ac:dyDescent="0.3">
      <c r="A122" s="6" t="s">
        <v>121</v>
      </c>
      <c r="B122" s="68">
        <f>SUMIFS(H2:H11,C2:C11,"Sales",H2:H11,"&gt;=40000")</f>
        <v>105000</v>
      </c>
    </row>
    <row r="123" spans="1:4" x14ac:dyDescent="0.3">
      <c r="A123" s="6" t="s">
        <v>122</v>
      </c>
      <c r="B123" s="68"/>
    </row>
    <row r="124" spans="1:4" x14ac:dyDescent="0.3">
      <c r="A124" s="6" t="s">
        <v>49</v>
      </c>
      <c r="B124" s="68"/>
    </row>
    <row r="125" spans="1:4" x14ac:dyDescent="0.3">
      <c r="A125" s="6"/>
      <c r="B125" s="68"/>
    </row>
    <row r="126" spans="1:4" x14ac:dyDescent="0.3">
      <c r="A126" s="6" t="s">
        <v>123</v>
      </c>
      <c r="B126" s="68">
        <f>SUMIFS(H2:H11,C2:C11,"Sales",D2:D11,"F")</f>
        <v>90000</v>
      </c>
    </row>
    <row r="127" spans="1:4" x14ac:dyDescent="0.3">
      <c r="A127" s="7" t="s">
        <v>124</v>
      </c>
      <c r="B127" s="68"/>
    </row>
    <row r="128" spans="1:4" x14ac:dyDescent="0.3">
      <c r="A128" s="6" t="s">
        <v>125</v>
      </c>
      <c r="B128" s="68"/>
    </row>
    <row r="129" spans="1:5" x14ac:dyDescent="0.3">
      <c r="A129" s="6" t="s">
        <v>126</v>
      </c>
      <c r="B129" s="68">
        <f>SUMIFS(I2:I11,I2:I11,"&gt;=5",F2:F11,"&gt;=85")</f>
        <v>41</v>
      </c>
    </row>
    <row r="130" spans="1:5" x14ac:dyDescent="0.3">
      <c r="A130" s="6" t="s">
        <v>112</v>
      </c>
      <c r="B130" s="68"/>
    </row>
    <row r="131" spans="1:5" x14ac:dyDescent="0.3">
      <c r="A131" s="6" t="s">
        <v>72</v>
      </c>
      <c r="B131" s="68"/>
    </row>
    <row r="132" spans="1:5" x14ac:dyDescent="0.3">
      <c r="A132" s="6" t="s">
        <v>127</v>
      </c>
      <c r="B132" s="68">
        <f>SUMIFS(H2:H11,F2:F11,"&gt;=85",G2:G11,"&gt;=70")</f>
        <v>60000</v>
      </c>
    </row>
    <row r="133" spans="1:5" x14ac:dyDescent="0.3">
      <c r="A133" s="6" t="s">
        <v>72</v>
      </c>
      <c r="B133" s="68"/>
    </row>
    <row r="134" spans="1:5" x14ac:dyDescent="0.3">
      <c r="A134" s="6" t="s">
        <v>109</v>
      </c>
    </row>
    <row r="135" spans="1:5" ht="23.4" x14ac:dyDescent="0.3">
      <c r="A135" s="5" t="s">
        <v>128</v>
      </c>
    </row>
    <row r="136" spans="1:5" x14ac:dyDescent="0.3">
      <c r="A136" s="6"/>
    </row>
    <row r="137" spans="1:5" x14ac:dyDescent="0.3">
      <c r="A137" s="6" t="s">
        <v>129</v>
      </c>
      <c r="E137" s="68">
        <f>SUMIFS(H2:H11,I2:I11,"&gt;5")</f>
        <v>105000</v>
      </c>
    </row>
    <row r="138" spans="1:5" x14ac:dyDescent="0.3">
      <c r="A138" s="6"/>
      <c r="E138" s="68"/>
    </row>
    <row r="139" spans="1:5" x14ac:dyDescent="0.3">
      <c r="A139" s="6" t="s">
        <v>130</v>
      </c>
      <c r="E139" s="68">
        <f>COUNTIFS(G2:G11,"&gt;=80",F2:F11,"&gt;=90")</f>
        <v>3</v>
      </c>
    </row>
    <row r="140" spans="1:5" x14ac:dyDescent="0.3">
      <c r="A140" s="6" t="s">
        <v>131</v>
      </c>
      <c r="E140" s="68"/>
    </row>
    <row r="141" spans="1:5" x14ac:dyDescent="0.3">
      <c r="A141" s="6" t="s">
        <v>132</v>
      </c>
      <c r="E141" s="68"/>
    </row>
    <row r="142" spans="1:5" x14ac:dyDescent="0.3">
      <c r="A142" s="6"/>
      <c r="E142" s="68"/>
    </row>
    <row r="143" spans="1:5" x14ac:dyDescent="0.3">
      <c r="A143" s="6" t="s">
        <v>133</v>
      </c>
      <c r="E143" s="68">
        <f>COUNTIFS(I2:I11,"&gt;=5",G2:G11,"&gt;=75",F2:F11,"&gt;=85")</f>
        <v>2</v>
      </c>
    </row>
    <row r="144" spans="1:5" x14ac:dyDescent="0.3">
      <c r="A144" s="6" t="s">
        <v>134</v>
      </c>
    </row>
    <row r="145" spans="1:1" x14ac:dyDescent="0.3">
      <c r="A145" s="6" t="s">
        <v>135</v>
      </c>
    </row>
    <row r="146" spans="1:1" x14ac:dyDescent="0.3">
      <c r="A146" s="6" t="s">
        <v>72</v>
      </c>
    </row>
  </sheetData>
  <mergeCells count="4">
    <mergeCell ref="C90:C92"/>
    <mergeCell ref="C96:C98"/>
    <mergeCell ref="C100:C102"/>
    <mergeCell ref="C104:C10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23D3-F418-45F9-B5BB-E6D6EAC19FA6}">
  <dimension ref="A1:AE87"/>
  <sheetViews>
    <sheetView topLeftCell="B8" zoomScaleNormal="130" workbookViewId="0">
      <selection activeCell="D81" sqref="D81"/>
    </sheetView>
  </sheetViews>
  <sheetFormatPr defaultRowHeight="14.4" x14ac:dyDescent="0.3"/>
  <cols>
    <col min="1" max="1" width="13.33203125" customWidth="1"/>
    <col min="2" max="2" width="15.109375" customWidth="1"/>
    <col min="3" max="3" width="25.33203125" customWidth="1"/>
    <col min="4" max="4" width="20.44140625" customWidth="1"/>
    <col min="5" max="5" width="21.6640625" style="44" customWidth="1"/>
    <col min="6" max="6" width="11.109375" customWidth="1"/>
    <col min="7" max="7" width="14.109375" customWidth="1"/>
    <col min="8" max="8" width="26.21875" customWidth="1"/>
    <col min="9" max="9" width="14.21875" customWidth="1"/>
    <col min="17" max="17" width="12.21875" customWidth="1"/>
    <col min="19" max="19" width="8.88671875" customWidth="1"/>
    <col min="22" max="22" width="20.6640625" customWidth="1"/>
  </cols>
  <sheetData>
    <row r="1" spans="1:31" ht="18" customHeight="1" x14ac:dyDescent="0.3">
      <c r="A1" s="2" t="s">
        <v>136</v>
      </c>
      <c r="B1" s="2" t="s">
        <v>137</v>
      </c>
      <c r="C1" s="2" t="s">
        <v>138</v>
      </c>
      <c r="D1" s="2" t="s">
        <v>139</v>
      </c>
      <c r="E1" s="43" t="s">
        <v>140</v>
      </c>
      <c r="F1" s="2" t="s">
        <v>141</v>
      </c>
      <c r="G1" s="2" t="s">
        <v>142</v>
      </c>
      <c r="H1" s="2" t="s">
        <v>143</v>
      </c>
    </row>
    <row r="2" spans="1:31" ht="17.399999999999999" customHeight="1" x14ac:dyDescent="0.3">
      <c r="A2" s="3" t="s">
        <v>144</v>
      </c>
      <c r="B2" s="3" t="s">
        <v>145</v>
      </c>
      <c r="C2" s="42" t="s">
        <v>146</v>
      </c>
      <c r="D2" s="3" t="s">
        <v>147</v>
      </c>
      <c r="E2" s="51">
        <v>44727</v>
      </c>
      <c r="F2" s="3" t="s">
        <v>148</v>
      </c>
      <c r="G2" s="3" t="s">
        <v>149</v>
      </c>
      <c r="H2" s="3" t="s">
        <v>150</v>
      </c>
      <c r="I2" s="46" t="str">
        <f>IF(AND(F2="Active", E2&lt;DATE(2022,1,1)), "Eligible", "Not Eligible")</f>
        <v>Not Eligible</v>
      </c>
      <c r="J2" s="46" t="str">
        <f>IF(OR(F2="Inactive",H2="Late"),"Review needed","NO need")</f>
        <v>NO need</v>
      </c>
      <c r="K2" s="46" t="str">
        <f>IF(RIGHT(D2,3)="IND", "India Employee", "Overseas")</f>
        <v>India Employee</v>
      </c>
      <c r="L2" s="78" t="str">
        <f>LEFT(D2, FIND("-", D2) - 1)</f>
        <v>HR</v>
      </c>
      <c r="M2" t="str">
        <f>LEFT(C2,FIND("@company.com",C2)-1)</f>
        <v>anu.hr</v>
      </c>
      <c r="N2" s="78" t="str">
        <f>LEFT(A2,3)</f>
        <v>EMP</v>
      </c>
      <c r="O2" s="37" t="str">
        <f>RIGHT(D2,3)</f>
        <v>IND</v>
      </c>
      <c r="P2" t="str">
        <f>RIGHT(D2,FIND("-",D2))</f>
        <v>IND</v>
      </c>
      <c r="Q2" s="50"/>
      <c r="R2" s="79" t="str">
        <f>RIGHT(A2,3)</f>
        <v>001</v>
      </c>
      <c r="S2" s="53" t="str">
        <f>LOWER(CONCATENATE(B2,".",L2,"@company.com"))</f>
        <v>anu devi.hr@company.com</v>
      </c>
      <c r="T2" s="53"/>
      <c r="U2" s="53"/>
      <c r="V2" s="53" t="str">
        <f>_xlfn.CONCAT(A2,"|",D2)</f>
        <v>EMP-001|HR-IND</v>
      </c>
      <c r="W2" s="81" t="str">
        <f>_xlfn.TEXTJOIN("-",TRUE,A2,B2,F2)</f>
        <v>EMP-001-Anu Devi-Active</v>
      </c>
      <c r="X2" s="81"/>
      <c r="Y2" s="81"/>
      <c r="Z2" s="81" t="str">
        <f>_xlfn.TEXTJOIN("/",TRUE,L2,O2,F2)</f>
        <v>HR/IND/Active</v>
      </c>
      <c r="AA2" s="81"/>
      <c r="AB2" s="83" t="str">
        <f>TRIM(H2)</f>
        <v>Good performer</v>
      </c>
      <c r="AC2" s="83"/>
      <c r="AD2" s="14">
        <f>SUBSTITUTE(SUBSTITUTE(G2,"₹",""),",","")*1</f>
        <v>45000</v>
      </c>
      <c r="AE2" s="14" t="str">
        <f>IF(AND(G2&gt;60000,F2="Active"),"High Salary")</f>
        <v>High Salary</v>
      </c>
    </row>
    <row r="3" spans="1:31" ht="18" customHeight="1" x14ac:dyDescent="0.3">
      <c r="A3" s="3" t="s">
        <v>151</v>
      </c>
      <c r="B3" s="3" t="s">
        <v>152</v>
      </c>
      <c r="C3" s="42" t="s">
        <v>153</v>
      </c>
      <c r="D3" s="3" t="s">
        <v>154</v>
      </c>
      <c r="E3" s="51">
        <v>44256</v>
      </c>
      <c r="F3" s="3" t="s">
        <v>148</v>
      </c>
      <c r="G3" s="3" t="s">
        <v>155</v>
      </c>
      <c r="H3" s="3" t="s">
        <v>156</v>
      </c>
      <c r="I3" s="46" t="str">
        <f t="shared" ref="I3:I7" si="0">IF(AND(F3="Active", E3&lt;DATE(2022,1,1)), "Eligible", "Not Eligible")</f>
        <v>Eligible</v>
      </c>
      <c r="J3" s="46" t="str">
        <f t="shared" ref="J3:J7" si="1">IF(OR(F3="Inactive",H3="Late"),"Review needed","NO need")</f>
        <v>NO need</v>
      </c>
      <c r="K3" s="46" t="str">
        <f t="shared" ref="K3:K7" si="2">IF(RIGHT(D3,3)="IND", "India Employee", "Overseas")</f>
        <v>Overseas</v>
      </c>
      <c r="L3" s="78" t="str">
        <f t="shared" ref="L3:L7" si="3">LEFT(D3, FIND("-", D3) - 1)</f>
        <v>SALES</v>
      </c>
      <c r="M3" t="str">
        <f t="shared" ref="M3:M7" si="4">LEFT(C3,FIND("@company.com",C3)-1)</f>
        <v>ravi.sales</v>
      </c>
      <c r="N3" s="78" t="str">
        <f t="shared" ref="N3:N7" si="5">LEFT(A3,3)</f>
        <v>EMP</v>
      </c>
      <c r="O3" s="37" t="str">
        <f t="shared" ref="O3:O7" si="6">RIGHT(D3,3)</f>
        <v>USA</v>
      </c>
      <c r="P3" t="str">
        <f>RIGHT(D3,FIND("-",D3)-3)</f>
        <v>USA</v>
      </c>
      <c r="R3" s="79" t="str">
        <f t="shared" ref="R3:R7" si="7">RIGHT(A3,3)</f>
        <v>002</v>
      </c>
      <c r="S3" s="53" t="str">
        <f t="shared" ref="S3:S7" si="8">LOWER(CONCATENATE(B3,".",L3,"@company.com"))</f>
        <v>ravi kumar.sales@company.com</v>
      </c>
      <c r="T3" s="53"/>
      <c r="U3" s="53"/>
      <c r="V3" s="53" t="str">
        <f t="shared" ref="V3:V7" si="9">_xlfn.CONCAT(A3,"|",D3)</f>
        <v>EMP-002|SALES-USA</v>
      </c>
      <c r="W3" s="81" t="str">
        <f t="shared" ref="W3:W7" si="10">_xlfn.TEXTJOIN("-",TRUE,A3,B3,F3)</f>
        <v>EMP-002-Ravi Kumar-Active</v>
      </c>
      <c r="X3" s="81"/>
      <c r="Y3" s="81"/>
      <c r="Z3" s="81" t="str">
        <f t="shared" ref="Z3:Z7" si="11">_xlfn.TEXTJOIN("/",TRUE,L3,O3,F3)</f>
        <v>SALES/USA/Active</v>
      </c>
      <c r="AA3" s="81"/>
      <c r="AB3" s="83" t="str">
        <f t="shared" ref="AB3:AB7" si="12">TRIM(H3)</f>
        <v>Late submission</v>
      </c>
      <c r="AC3" s="83"/>
      <c r="AD3" s="14">
        <f t="shared" ref="AD3:AD7" si="13">SUBSTITUTE(SUBSTITUTE(G3,"₹",""),",","")*1</f>
        <v>60500</v>
      </c>
      <c r="AE3" s="14" t="str">
        <f t="shared" ref="AE3:AE7" si="14">IF(AND(G3&gt;60000,F3="Active"),"High Salary")</f>
        <v>High Salary</v>
      </c>
    </row>
    <row r="4" spans="1:31" ht="19.2" customHeight="1" x14ac:dyDescent="0.3">
      <c r="A4" s="3" t="s">
        <v>157</v>
      </c>
      <c r="B4" s="3" t="s">
        <v>158</v>
      </c>
      <c r="C4" s="42" t="s">
        <v>159</v>
      </c>
      <c r="D4" s="3" t="s">
        <v>160</v>
      </c>
      <c r="E4" s="51">
        <v>45189</v>
      </c>
      <c r="F4" s="3" t="s">
        <v>161</v>
      </c>
      <c r="G4" s="3" t="s">
        <v>162</v>
      </c>
      <c r="H4" s="3" t="s">
        <v>163</v>
      </c>
      <c r="I4" s="46" t="str">
        <f t="shared" si="0"/>
        <v>Not Eligible</v>
      </c>
      <c r="J4" s="46" t="str">
        <f t="shared" si="1"/>
        <v>Review needed</v>
      </c>
      <c r="K4" s="46" t="str">
        <f t="shared" si="2"/>
        <v>India Employee</v>
      </c>
      <c r="L4" s="78" t="str">
        <f t="shared" si="3"/>
        <v>IT</v>
      </c>
      <c r="M4" t="str">
        <f t="shared" si="4"/>
        <v>karthik.it</v>
      </c>
      <c r="N4" s="78" t="str">
        <f t="shared" si="5"/>
        <v>EMP</v>
      </c>
      <c r="O4" s="37" t="str">
        <f t="shared" si="6"/>
        <v>IND</v>
      </c>
      <c r="P4" t="str">
        <f t="shared" ref="P4:P7" si="15">RIGHT(D4,FIND("-",D4))</f>
        <v>IND</v>
      </c>
      <c r="R4" s="79" t="str">
        <f t="shared" si="7"/>
        <v>003</v>
      </c>
      <c r="S4" s="53" t="str">
        <f t="shared" si="8"/>
        <v>karthik r.it@company.com</v>
      </c>
      <c r="T4" s="53"/>
      <c r="U4" s="53"/>
      <c r="V4" s="53" t="str">
        <f t="shared" si="9"/>
        <v>EMP-003|IT-IND</v>
      </c>
      <c r="W4" s="81" t="str">
        <f t="shared" si="10"/>
        <v>EMP-003-Karthik R-Inactive</v>
      </c>
      <c r="X4" s="81"/>
      <c r="Y4" s="81"/>
      <c r="Z4" s="81" t="str">
        <f t="shared" si="11"/>
        <v>IT/IND/Inactive</v>
      </c>
      <c r="AA4" s="81"/>
      <c r="AB4" s="83" t="str">
        <f t="shared" si="12"/>
        <v>Needs improvement</v>
      </c>
      <c r="AC4" s="83"/>
      <c r="AD4" s="14">
        <f t="shared" si="13"/>
        <v>38000</v>
      </c>
      <c r="AE4" s="14" t="b">
        <f t="shared" si="14"/>
        <v>0</v>
      </c>
    </row>
    <row r="5" spans="1:31" ht="17.399999999999999" customHeight="1" x14ac:dyDescent="0.3">
      <c r="A5" s="3" t="s">
        <v>164</v>
      </c>
      <c r="B5" s="3" t="s">
        <v>165</v>
      </c>
      <c r="C5" s="42" t="s">
        <v>166</v>
      </c>
      <c r="D5" s="3" t="s">
        <v>167</v>
      </c>
      <c r="E5" s="51">
        <v>44115</v>
      </c>
      <c r="F5" s="3" t="s">
        <v>148</v>
      </c>
      <c r="G5" s="3" t="s">
        <v>168</v>
      </c>
      <c r="H5" s="3" t="s">
        <v>169</v>
      </c>
      <c r="I5" s="46" t="str">
        <f t="shared" si="0"/>
        <v>Eligible</v>
      </c>
      <c r="J5" s="46" t="str">
        <f t="shared" si="1"/>
        <v>NO need</v>
      </c>
      <c r="K5" s="46" t="str">
        <f t="shared" si="2"/>
        <v>India Employee</v>
      </c>
      <c r="L5" s="78" t="str">
        <f t="shared" si="3"/>
        <v>SALES</v>
      </c>
      <c r="M5" t="str">
        <f t="shared" si="4"/>
        <v>priya.sales</v>
      </c>
      <c r="N5" s="78" t="str">
        <f t="shared" si="5"/>
        <v>EMP</v>
      </c>
      <c r="O5" s="37" t="str">
        <f t="shared" si="6"/>
        <v>IND</v>
      </c>
      <c r="P5" t="str">
        <f>RIGHT(D5,FIND("-",D5)-3)</f>
        <v>IND</v>
      </c>
      <c r="R5" s="79" t="str">
        <f t="shared" si="7"/>
        <v>004</v>
      </c>
      <c r="S5" s="53" t="str">
        <f t="shared" si="8"/>
        <v>priya s.sales@company.com</v>
      </c>
      <c r="T5" s="53"/>
      <c r="U5" s="53"/>
      <c r="V5" s="53" t="str">
        <f t="shared" si="9"/>
        <v>EMP-004|SALES-IND</v>
      </c>
      <c r="W5" s="81" t="str">
        <f t="shared" si="10"/>
        <v>EMP-004-Priya S-Active</v>
      </c>
      <c r="X5" s="81"/>
      <c r="Y5" s="81"/>
      <c r="Z5" s="81" t="str">
        <f t="shared" si="11"/>
        <v>SALES/IND/Active</v>
      </c>
      <c r="AA5" s="81"/>
      <c r="AB5" s="83" t="str">
        <f t="shared" si="12"/>
        <v>Excellent</v>
      </c>
      <c r="AC5" s="83"/>
      <c r="AD5" s="14">
        <f t="shared" si="13"/>
        <v>72000</v>
      </c>
      <c r="AE5" s="14" t="str">
        <f t="shared" si="14"/>
        <v>High Salary</v>
      </c>
    </row>
    <row r="6" spans="1:31" ht="18.600000000000001" customHeight="1" x14ac:dyDescent="0.3">
      <c r="A6" s="3" t="s">
        <v>170</v>
      </c>
      <c r="B6" s="3" t="s">
        <v>171</v>
      </c>
      <c r="C6" s="42" t="s">
        <v>172</v>
      </c>
      <c r="D6" s="3" t="s">
        <v>173</v>
      </c>
      <c r="E6" s="51">
        <v>43467</v>
      </c>
      <c r="F6" s="3" t="s">
        <v>148</v>
      </c>
      <c r="G6" s="3" t="s">
        <v>174</v>
      </c>
      <c r="H6" s="3" t="s">
        <v>175</v>
      </c>
      <c r="I6" s="46" t="str">
        <f t="shared" si="0"/>
        <v>Eligible</v>
      </c>
      <c r="J6" s="46" t="str">
        <f t="shared" si="1"/>
        <v>NO need</v>
      </c>
      <c r="K6" s="46" t="str">
        <f t="shared" si="2"/>
        <v>Overseas</v>
      </c>
      <c r="L6" s="78" t="str">
        <f t="shared" si="3"/>
        <v>FIN</v>
      </c>
      <c r="M6" t="str">
        <f t="shared" si="4"/>
        <v>suresh.fin</v>
      </c>
      <c r="N6" s="78" t="str">
        <f t="shared" si="5"/>
        <v>EMP</v>
      </c>
      <c r="O6" s="37" t="str">
        <f t="shared" si="6"/>
        <v>USA</v>
      </c>
      <c r="P6" t="str">
        <f>RIGHT(D6,FIND("-",D6)-1)</f>
        <v>USA</v>
      </c>
      <c r="R6" s="79" t="str">
        <f t="shared" si="7"/>
        <v>005</v>
      </c>
      <c r="S6" s="53" t="str">
        <f t="shared" si="8"/>
        <v>suresh m.fin@company.com</v>
      </c>
      <c r="T6" s="53"/>
      <c r="U6" s="53"/>
      <c r="V6" s="53" t="str">
        <f t="shared" si="9"/>
        <v>EMP-005|FIN-USA</v>
      </c>
      <c r="W6" s="81" t="str">
        <f t="shared" si="10"/>
        <v>EMP-005-Suresh M-Active</v>
      </c>
      <c r="X6" s="81"/>
      <c r="Y6" s="81"/>
      <c r="Z6" s="81" t="str">
        <f t="shared" si="11"/>
        <v>FIN/USA/Active</v>
      </c>
      <c r="AA6" s="81"/>
      <c r="AB6" s="83" t="str">
        <f t="shared" si="12"/>
        <v>Senior staff</v>
      </c>
      <c r="AC6" s="83"/>
      <c r="AD6" s="14">
        <f t="shared" si="13"/>
        <v>90000</v>
      </c>
      <c r="AE6" s="14" t="str">
        <f t="shared" si="14"/>
        <v>High Salary</v>
      </c>
    </row>
    <row r="7" spans="1:31" ht="16.2" customHeight="1" x14ac:dyDescent="0.3">
      <c r="A7" s="3" t="s">
        <v>176</v>
      </c>
      <c r="B7" s="3" t="s">
        <v>177</v>
      </c>
      <c r="C7" s="42" t="s">
        <v>178</v>
      </c>
      <c r="D7" s="3" t="s">
        <v>147</v>
      </c>
      <c r="E7" s="51">
        <v>44767</v>
      </c>
      <c r="F7" s="3" t="s">
        <v>161</v>
      </c>
      <c r="G7" s="3" t="s">
        <v>179</v>
      </c>
      <c r="H7" s="3" t="s">
        <v>180</v>
      </c>
      <c r="I7" s="46" t="str">
        <f t="shared" si="0"/>
        <v>Not Eligible</v>
      </c>
      <c r="J7" s="46" t="str">
        <f t="shared" si="1"/>
        <v>Review needed</v>
      </c>
      <c r="K7" s="46" t="str">
        <f t="shared" si="2"/>
        <v>India Employee</v>
      </c>
      <c r="L7" s="78" t="str">
        <f t="shared" si="3"/>
        <v>HR</v>
      </c>
      <c r="M7" t="str">
        <f t="shared" si="4"/>
        <v>meena.hr</v>
      </c>
      <c r="N7" s="78" t="str">
        <f t="shared" si="5"/>
        <v>EMP</v>
      </c>
      <c r="O7" s="37" t="str">
        <f t="shared" si="6"/>
        <v>IND</v>
      </c>
      <c r="P7" t="str">
        <f t="shared" si="15"/>
        <v>IND</v>
      </c>
      <c r="R7" s="79" t="str">
        <f t="shared" si="7"/>
        <v>006</v>
      </c>
      <c r="S7" s="53" t="str">
        <f t="shared" si="8"/>
        <v>meena l.hr@company.com</v>
      </c>
      <c r="T7" s="53"/>
      <c r="U7" s="53"/>
      <c r="V7" s="53" t="str">
        <f t="shared" si="9"/>
        <v>EMP-006|HR-IND</v>
      </c>
      <c r="W7" s="81" t="str">
        <f t="shared" si="10"/>
        <v>EMP-006-Meena L-Inactive</v>
      </c>
      <c r="X7" s="81"/>
      <c r="Y7" s="81"/>
      <c r="Z7" s="81" t="str">
        <f t="shared" si="11"/>
        <v>HR/IND/Inactive</v>
      </c>
      <c r="AA7" s="81"/>
      <c r="AB7" s="83" t="str">
        <f t="shared" si="12"/>
        <v>On leave</v>
      </c>
      <c r="AC7" s="83"/>
      <c r="AD7" s="14">
        <f t="shared" si="13"/>
        <v>41500</v>
      </c>
      <c r="AE7" s="14" t="b">
        <f t="shared" si="14"/>
        <v>0</v>
      </c>
    </row>
    <row r="10" spans="1:31" ht="23.4" x14ac:dyDescent="0.3">
      <c r="A10" s="45" t="s">
        <v>181</v>
      </c>
      <c r="B10" s="46"/>
      <c r="C10" s="46"/>
      <c r="D10" s="46"/>
      <c r="E10" s="47"/>
    </row>
    <row r="11" spans="1:31" x14ac:dyDescent="0.3">
      <c r="A11" s="48"/>
      <c r="B11" s="46"/>
      <c r="C11" s="46"/>
      <c r="D11" s="46"/>
      <c r="E11" s="47"/>
    </row>
    <row r="12" spans="1:31" x14ac:dyDescent="0.3">
      <c r="A12" s="48" t="s">
        <v>182</v>
      </c>
      <c r="B12" s="46"/>
      <c r="C12" s="46"/>
      <c r="D12" s="46"/>
      <c r="E12" s="47"/>
    </row>
    <row r="13" spans="1:31" ht="15" x14ac:dyDescent="0.3">
      <c r="A13" s="49" t="s">
        <v>183</v>
      </c>
      <c r="B13" s="46"/>
      <c r="C13" s="46"/>
      <c r="D13" s="46"/>
      <c r="E13" s="47"/>
    </row>
    <row r="14" spans="1:31" ht="15" x14ac:dyDescent="0.3">
      <c r="A14" s="49" t="s">
        <v>184</v>
      </c>
      <c r="B14" s="46"/>
      <c r="C14" s="46"/>
      <c r="D14" s="46"/>
      <c r="E14" s="47"/>
    </row>
    <row r="15" spans="1:31" x14ac:dyDescent="0.3">
      <c r="A15" s="48"/>
      <c r="B15" s="46"/>
      <c r="C15" s="46"/>
      <c r="D15" s="46"/>
      <c r="E15" s="47"/>
    </row>
    <row r="16" spans="1:31" x14ac:dyDescent="0.3">
      <c r="A16" s="48" t="s">
        <v>185</v>
      </c>
      <c r="B16" s="46"/>
      <c r="C16" s="46"/>
      <c r="D16" s="46"/>
      <c r="E16" s="47"/>
    </row>
    <row r="17" spans="1:5" ht="15" x14ac:dyDescent="0.3">
      <c r="A17" s="49" t="s">
        <v>186</v>
      </c>
      <c r="B17" s="46"/>
      <c r="C17" s="46"/>
      <c r="D17" s="46"/>
      <c r="E17" s="47"/>
    </row>
    <row r="18" spans="1:5" ht="15" x14ac:dyDescent="0.3">
      <c r="A18" s="49" t="s">
        <v>187</v>
      </c>
      <c r="B18" s="46"/>
      <c r="C18" s="46"/>
      <c r="D18" s="46"/>
      <c r="E18" s="47"/>
    </row>
    <row r="19" spans="1:5" x14ac:dyDescent="0.3">
      <c r="A19" s="48"/>
      <c r="B19" s="46"/>
      <c r="C19" s="46"/>
      <c r="D19" s="46"/>
      <c r="E19" s="47"/>
    </row>
    <row r="20" spans="1:5" ht="15" x14ac:dyDescent="0.3">
      <c r="A20" s="48" t="s">
        <v>188</v>
      </c>
      <c r="B20" s="46"/>
      <c r="C20" s="46"/>
      <c r="D20" s="46"/>
      <c r="E20" s="47"/>
    </row>
    <row r="22" spans="1:5" ht="23.4" x14ac:dyDescent="0.3">
      <c r="A22" s="54" t="s">
        <v>189</v>
      </c>
      <c r="B22" s="55"/>
      <c r="C22" s="55"/>
    </row>
    <row r="23" spans="1:5" x14ac:dyDescent="0.3">
      <c r="A23" s="6"/>
    </row>
    <row r="24" spans="1:5" ht="15" x14ac:dyDescent="0.3">
      <c r="A24" s="6" t="s">
        <v>190</v>
      </c>
    </row>
    <row r="25" spans="1:5" ht="15" x14ac:dyDescent="0.3">
      <c r="A25" s="8" t="s">
        <v>191</v>
      </c>
    </row>
    <row r="26" spans="1:5" x14ac:dyDescent="0.3">
      <c r="A26" s="6"/>
    </row>
    <row r="27" spans="1:5" ht="15" x14ac:dyDescent="0.3">
      <c r="A27" s="6" t="s">
        <v>192</v>
      </c>
    </row>
    <row r="31" spans="1:5" ht="23.4" x14ac:dyDescent="0.3">
      <c r="A31" s="28" t="s">
        <v>193</v>
      </c>
      <c r="B31" s="29"/>
      <c r="C31" s="29"/>
    </row>
    <row r="32" spans="1:5" x14ac:dyDescent="0.3">
      <c r="A32" s="6"/>
    </row>
    <row r="33" spans="1:3" ht="15" x14ac:dyDescent="0.3">
      <c r="A33" s="6" t="s">
        <v>194</v>
      </c>
    </row>
    <row r="34" spans="1:3" ht="15" x14ac:dyDescent="0.3">
      <c r="A34" s="8" t="s">
        <v>195</v>
      </c>
    </row>
    <row r="35" spans="1:3" x14ac:dyDescent="0.3">
      <c r="A35" s="6"/>
    </row>
    <row r="36" spans="1:3" x14ac:dyDescent="0.3">
      <c r="A36" s="6" t="s">
        <v>196</v>
      </c>
    </row>
    <row r="40" spans="1:3" ht="23.4" x14ac:dyDescent="0.3">
      <c r="A40" s="36" t="s">
        <v>197</v>
      </c>
      <c r="B40" s="37"/>
      <c r="C40" s="37"/>
    </row>
    <row r="41" spans="1:3" x14ac:dyDescent="0.3">
      <c r="A41" s="6"/>
    </row>
    <row r="42" spans="1:3" ht="15" x14ac:dyDescent="0.3">
      <c r="A42" s="6" t="s">
        <v>198</v>
      </c>
    </row>
    <row r="43" spans="1:3" ht="15" x14ac:dyDescent="0.3">
      <c r="A43" s="8" t="s">
        <v>199</v>
      </c>
    </row>
    <row r="44" spans="1:3" x14ac:dyDescent="0.3">
      <c r="A44" s="6"/>
    </row>
    <row r="45" spans="1:3" x14ac:dyDescent="0.3">
      <c r="A45" s="6" t="s">
        <v>200</v>
      </c>
    </row>
    <row r="46" spans="1:3" ht="15" x14ac:dyDescent="0.3">
      <c r="A46" s="8" t="s">
        <v>201</v>
      </c>
    </row>
    <row r="50" spans="1:3" ht="23.4" x14ac:dyDescent="0.3">
      <c r="A50" s="52" t="s">
        <v>202</v>
      </c>
      <c r="B50" s="53"/>
      <c r="C50" s="53"/>
    </row>
    <row r="51" spans="1:3" x14ac:dyDescent="0.3">
      <c r="A51" s="6"/>
    </row>
    <row r="52" spans="1:3" x14ac:dyDescent="0.3">
      <c r="A52" s="6" t="s">
        <v>203</v>
      </c>
    </row>
    <row r="53" spans="1:3" x14ac:dyDescent="0.3">
      <c r="A53" s="6"/>
    </row>
    <row r="54" spans="1:3" ht="15" x14ac:dyDescent="0.3">
      <c r="A54" s="6" t="s">
        <v>204</v>
      </c>
    </row>
    <row r="55" spans="1:3" x14ac:dyDescent="0.3">
      <c r="A55" s="6"/>
    </row>
    <row r="56" spans="1:3" x14ac:dyDescent="0.3">
      <c r="A56" s="6" t="s">
        <v>205</v>
      </c>
    </row>
    <row r="57" spans="1:3" x14ac:dyDescent="0.3">
      <c r="A57" s="6"/>
    </row>
    <row r="58" spans="1:3" ht="15" x14ac:dyDescent="0.3">
      <c r="A58" s="6" t="s">
        <v>206</v>
      </c>
    </row>
    <row r="62" spans="1:3" ht="23.4" x14ac:dyDescent="0.3">
      <c r="A62" s="80" t="s">
        <v>207</v>
      </c>
      <c r="B62" s="81"/>
      <c r="C62" s="81"/>
    </row>
    <row r="63" spans="1:3" x14ac:dyDescent="0.3">
      <c r="A63" s="6"/>
    </row>
    <row r="64" spans="1:3" ht="15" x14ac:dyDescent="0.3">
      <c r="A64" s="6" t="s">
        <v>208</v>
      </c>
    </row>
    <row r="65" spans="1:4" x14ac:dyDescent="0.3">
      <c r="A65" s="6"/>
    </row>
    <row r="66" spans="1:4" x14ac:dyDescent="0.3">
      <c r="A66" s="6" t="s">
        <v>209</v>
      </c>
    </row>
    <row r="67" spans="1:4" x14ac:dyDescent="0.3">
      <c r="A67" s="6"/>
    </row>
    <row r="68" spans="1:4" ht="15" x14ac:dyDescent="0.3">
      <c r="A68" s="6" t="s">
        <v>210</v>
      </c>
    </row>
    <row r="72" spans="1:4" ht="23.4" x14ac:dyDescent="0.3">
      <c r="A72" s="82" t="s">
        <v>211</v>
      </c>
      <c r="B72" s="83"/>
      <c r="C72" s="83"/>
      <c r="D72" s="83"/>
    </row>
    <row r="73" spans="1:4" x14ac:dyDescent="0.3">
      <c r="A73" s="6"/>
    </row>
    <row r="74" spans="1:4" x14ac:dyDescent="0.3">
      <c r="A74" s="6" t="s">
        <v>212</v>
      </c>
    </row>
    <row r="75" spans="1:4" x14ac:dyDescent="0.3">
      <c r="A75" s="6"/>
    </row>
    <row r="76" spans="1:4" ht="15" x14ac:dyDescent="0.3">
      <c r="A76" s="6" t="s">
        <v>213</v>
      </c>
      <c r="D76" s="83">
        <f>COUNTIF(AB2:AB7,"Good performer")</f>
        <v>1</v>
      </c>
    </row>
    <row r="77" spans="1:4" x14ac:dyDescent="0.3">
      <c r="A77" s="6" t="s">
        <v>214</v>
      </c>
    </row>
    <row r="81" spans="1:3" ht="23.4" x14ac:dyDescent="0.3">
      <c r="A81" s="15" t="s">
        <v>215</v>
      </c>
      <c r="B81" s="14"/>
      <c r="C81" s="14"/>
    </row>
    <row r="82" spans="1:3" x14ac:dyDescent="0.3">
      <c r="A82" s="6"/>
    </row>
    <row r="83" spans="1:3" x14ac:dyDescent="0.3">
      <c r="A83" s="6" t="s">
        <v>216</v>
      </c>
    </row>
    <row r="84" spans="1:3" x14ac:dyDescent="0.3">
      <c r="A84" s="6"/>
    </row>
    <row r="85" spans="1:3" ht="15" x14ac:dyDescent="0.3">
      <c r="A85" s="6" t="s">
        <v>217</v>
      </c>
    </row>
    <row r="86" spans="1:3" x14ac:dyDescent="0.3">
      <c r="A86" s="6"/>
    </row>
    <row r="87" spans="1:3" x14ac:dyDescent="0.3">
      <c r="A87" s="6" t="s">
        <v>218</v>
      </c>
    </row>
  </sheetData>
  <hyperlinks>
    <hyperlink ref="C2" r:id="rId1" display="mailto:anu.hr@company.com" xr:uid="{BAD1385B-E6C5-40FE-9711-2DB260E3C208}"/>
    <hyperlink ref="C3" r:id="rId2" display="mailto:ravi.sales@company.com" xr:uid="{93984D4F-858B-416D-AB9F-CB511A14A8E7}"/>
    <hyperlink ref="C4" r:id="rId3" display="mailto:karthik.it@company.com" xr:uid="{5DF96624-3C4D-4931-8928-2B3CE9DB2029}"/>
    <hyperlink ref="C5" r:id="rId4" display="mailto:priya.sales@company.com" xr:uid="{EBC25549-25A6-478D-80E9-7D26E71A2EB5}"/>
    <hyperlink ref="C6" r:id="rId5" display="mailto:suresh.fin@company.com" xr:uid="{37106F84-A40A-4B50-8563-3856F8CE763D}"/>
    <hyperlink ref="C7" r:id="rId6" display="mailto:meena.hr@company.com" xr:uid="{EA4F9F17-E2E7-4CBF-884C-1D78E932F27D}"/>
  </hyperlinks>
  <pageMargins left="0.7" right="0.7" top="0.75" bottom="0.75" header="0.3" footer="0.3"/>
  <ignoredErrors>
    <ignoredError sqref="P3:P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462B-8ACF-4E74-82D2-042DBD300FDE}">
  <dimension ref="A1:M34"/>
  <sheetViews>
    <sheetView workbookViewId="0">
      <selection activeCell="K34" sqref="K34"/>
    </sheetView>
  </sheetViews>
  <sheetFormatPr defaultRowHeight="14.4" x14ac:dyDescent="0.3"/>
  <cols>
    <col min="1" max="1" width="16.77734375" customWidth="1"/>
    <col min="2" max="2" width="14.109375" customWidth="1"/>
    <col min="3" max="3" width="12.21875" customWidth="1"/>
    <col min="4" max="4" width="13.21875" customWidth="1"/>
    <col min="5" max="5" width="16" customWidth="1"/>
    <col min="6" max="6" width="15.88671875" customWidth="1"/>
    <col min="9" max="9" width="13.77734375" customWidth="1"/>
    <col min="10" max="10" width="13.33203125" customWidth="1"/>
    <col min="11" max="11" width="14.109375" customWidth="1"/>
  </cols>
  <sheetData>
    <row r="1" spans="1:10" x14ac:dyDescent="0.3">
      <c r="A1" s="2" t="s">
        <v>219</v>
      </c>
      <c r="B1" s="2" t="s">
        <v>220</v>
      </c>
      <c r="C1" s="2" t="s">
        <v>2</v>
      </c>
      <c r="D1" s="2" t="s">
        <v>221</v>
      </c>
      <c r="E1" s="2" t="s">
        <v>222</v>
      </c>
      <c r="F1" s="2" t="s">
        <v>223</v>
      </c>
    </row>
    <row r="2" spans="1:10" x14ac:dyDescent="0.3">
      <c r="A2" s="3" t="s">
        <v>224</v>
      </c>
      <c r="B2" s="3" t="s">
        <v>225</v>
      </c>
      <c r="C2" s="3" t="s">
        <v>11</v>
      </c>
      <c r="D2" s="3" t="s">
        <v>226</v>
      </c>
      <c r="E2" s="56">
        <v>43805</v>
      </c>
      <c r="F2" s="3">
        <v>28000</v>
      </c>
      <c r="I2" s="71" t="s">
        <v>252</v>
      </c>
      <c r="J2" s="71"/>
    </row>
    <row r="3" spans="1:10" x14ac:dyDescent="0.3">
      <c r="A3" s="3" t="s">
        <v>227</v>
      </c>
      <c r="B3" s="3" t="s">
        <v>228</v>
      </c>
      <c r="C3" s="3" t="s">
        <v>19</v>
      </c>
      <c r="D3" s="3" t="s">
        <v>229</v>
      </c>
      <c r="E3" s="56" t="s">
        <v>230</v>
      </c>
      <c r="F3" s="3">
        <v>45000</v>
      </c>
      <c r="I3" s="3"/>
    </row>
    <row r="4" spans="1:10" x14ac:dyDescent="0.3">
      <c r="A4" s="3" t="s">
        <v>231</v>
      </c>
      <c r="B4" s="3" t="s">
        <v>171</v>
      </c>
      <c r="C4" s="3" t="s">
        <v>24</v>
      </c>
      <c r="D4" s="3" t="s">
        <v>226</v>
      </c>
      <c r="E4" s="56">
        <v>44105</v>
      </c>
      <c r="F4" s="3">
        <v>38000</v>
      </c>
      <c r="I4" t="s">
        <v>239</v>
      </c>
      <c r="J4">
        <f>VLOOKUP(I4,A2:F9,6,FALSE)</f>
        <v>26000</v>
      </c>
    </row>
    <row r="5" spans="1:10" x14ac:dyDescent="0.3">
      <c r="A5" s="3" t="s">
        <v>232</v>
      </c>
      <c r="B5" s="3" t="s">
        <v>233</v>
      </c>
      <c r="C5" s="3" t="s">
        <v>19</v>
      </c>
      <c r="D5" s="3" t="s">
        <v>234</v>
      </c>
      <c r="E5" s="56" t="s">
        <v>235</v>
      </c>
      <c r="F5" s="3">
        <v>52000</v>
      </c>
      <c r="I5" s="3" t="s">
        <v>227</v>
      </c>
      <c r="J5">
        <f>VLOOKUP(I5,A3:F10,6,FALSE)</f>
        <v>45000</v>
      </c>
    </row>
    <row r="6" spans="1:10" x14ac:dyDescent="0.3">
      <c r="A6" s="3" t="s">
        <v>236</v>
      </c>
      <c r="B6" s="3" t="s">
        <v>237</v>
      </c>
      <c r="C6" s="3" t="s">
        <v>15</v>
      </c>
      <c r="D6" s="3" t="s">
        <v>238</v>
      </c>
      <c r="E6" s="56">
        <v>43227</v>
      </c>
      <c r="F6" s="3">
        <v>30000</v>
      </c>
      <c r="I6" t="s">
        <v>242</v>
      </c>
      <c r="J6">
        <f>VLOOKUP(I6,A4:F11,6,FALSE)</f>
        <v>41000</v>
      </c>
    </row>
    <row r="7" spans="1:10" x14ac:dyDescent="0.3">
      <c r="A7" s="3" t="s">
        <v>239</v>
      </c>
      <c r="B7" s="3" t="s">
        <v>240</v>
      </c>
      <c r="C7" s="3" t="s">
        <v>11</v>
      </c>
      <c r="D7" s="3" t="s">
        <v>226</v>
      </c>
      <c r="E7" s="56" t="s">
        <v>241</v>
      </c>
      <c r="F7" s="3">
        <v>26000</v>
      </c>
      <c r="I7" s="3" t="s">
        <v>232</v>
      </c>
      <c r="J7">
        <f>VLOOKUP(I7,A5:F12,6,FALSE)</f>
        <v>52000</v>
      </c>
    </row>
    <row r="8" spans="1:10" x14ac:dyDescent="0.3">
      <c r="A8" s="3" t="s">
        <v>242</v>
      </c>
      <c r="B8" s="3" t="s">
        <v>243</v>
      </c>
      <c r="C8" s="3" t="s">
        <v>24</v>
      </c>
      <c r="D8" s="3" t="s">
        <v>244</v>
      </c>
      <c r="E8" s="56">
        <v>43780</v>
      </c>
      <c r="F8" s="3">
        <v>41000</v>
      </c>
      <c r="I8" t="s">
        <v>251</v>
      </c>
      <c r="J8" t="e">
        <f>VLOOKUP(I8,A6:F13,6,FALSE)</f>
        <v>#N/A</v>
      </c>
    </row>
    <row r="9" spans="1:10" x14ac:dyDescent="0.3">
      <c r="A9" s="3" t="s">
        <v>245</v>
      </c>
      <c r="B9" s="3" t="s">
        <v>246</v>
      </c>
      <c r="C9" s="3" t="s">
        <v>15</v>
      </c>
      <c r="D9" s="3" t="s">
        <v>229</v>
      </c>
      <c r="E9" s="56" t="s">
        <v>247</v>
      </c>
      <c r="F9" s="3">
        <v>35000</v>
      </c>
    </row>
    <row r="14" spans="1:10" x14ac:dyDescent="0.3">
      <c r="I14" s="71" t="s">
        <v>253</v>
      </c>
      <c r="J14" s="71"/>
    </row>
    <row r="16" spans="1:10" x14ac:dyDescent="0.3">
      <c r="A16" s="2" t="s">
        <v>219</v>
      </c>
      <c r="B16" s="2" t="s">
        <v>224</v>
      </c>
      <c r="C16" s="2" t="s">
        <v>227</v>
      </c>
      <c r="D16" s="2" t="s">
        <v>231</v>
      </c>
      <c r="E16" s="2" t="s">
        <v>232</v>
      </c>
      <c r="F16" s="2" t="s">
        <v>236</v>
      </c>
      <c r="G16" s="2" t="s">
        <v>239</v>
      </c>
      <c r="H16" s="2"/>
      <c r="I16" s="3" t="s">
        <v>248</v>
      </c>
      <c r="J16" t="str">
        <f>HLOOKUP(I16,$B$17:$G$21,2,FALSE)</f>
        <v>HR</v>
      </c>
    </row>
    <row r="17" spans="1:13" x14ac:dyDescent="0.3">
      <c r="A17" s="57" t="s">
        <v>1</v>
      </c>
      <c r="B17" s="3" t="s">
        <v>248</v>
      </c>
      <c r="C17" s="3" t="s">
        <v>34</v>
      </c>
      <c r="D17" s="3" t="s">
        <v>23</v>
      </c>
      <c r="E17" s="3" t="s">
        <v>30</v>
      </c>
      <c r="F17" s="3" t="s">
        <v>249</v>
      </c>
      <c r="G17" s="3" t="s">
        <v>21</v>
      </c>
      <c r="H17" s="3"/>
      <c r="I17" s="3" t="s">
        <v>34</v>
      </c>
      <c r="J17" t="str">
        <f>HLOOKUP(I17,$B$17:$G$21,2,FALSE)</f>
        <v>IT</v>
      </c>
    </row>
    <row r="18" spans="1:13" ht="10.8" customHeight="1" x14ac:dyDescent="0.3">
      <c r="A18" s="57" t="s">
        <v>2</v>
      </c>
      <c r="B18" s="3" t="s">
        <v>11</v>
      </c>
      <c r="C18" s="3" t="s">
        <v>19</v>
      </c>
      <c r="D18" s="3" t="s">
        <v>24</v>
      </c>
      <c r="E18" s="3" t="s">
        <v>19</v>
      </c>
      <c r="F18" s="3" t="s">
        <v>15</v>
      </c>
      <c r="G18" s="3" t="s">
        <v>11</v>
      </c>
      <c r="H18" s="3"/>
      <c r="I18" s="3" t="s">
        <v>23</v>
      </c>
      <c r="J18" t="str">
        <f>HLOOKUP(I18,B17:G21,3,FALSE)</f>
        <v>Chennai</v>
      </c>
    </row>
    <row r="19" spans="1:13" x14ac:dyDescent="0.3">
      <c r="A19" s="57" t="s">
        <v>221</v>
      </c>
      <c r="B19" s="3" t="s">
        <v>226</v>
      </c>
      <c r="C19" s="3" t="s">
        <v>229</v>
      </c>
      <c r="D19" s="3" t="s">
        <v>226</v>
      </c>
      <c r="E19" s="3" t="s">
        <v>234</v>
      </c>
      <c r="F19" s="3" t="s">
        <v>238</v>
      </c>
      <c r="G19" s="3" t="s">
        <v>226</v>
      </c>
      <c r="H19" s="3"/>
      <c r="I19" s="3" t="s">
        <v>30</v>
      </c>
      <c r="J19" t="str">
        <f>HLOOKUP(I19,B17:G21,2,FALSE)</f>
        <v>IT</v>
      </c>
    </row>
    <row r="20" spans="1:13" x14ac:dyDescent="0.3">
      <c r="A20" s="57" t="s">
        <v>223</v>
      </c>
      <c r="B20" s="3">
        <v>28000</v>
      </c>
      <c r="C20" s="3">
        <v>45000</v>
      </c>
      <c r="D20" s="3">
        <v>38000</v>
      </c>
      <c r="E20" s="3">
        <v>52000</v>
      </c>
      <c r="F20" s="3">
        <v>30000</v>
      </c>
      <c r="G20" s="3">
        <v>26000</v>
      </c>
      <c r="H20" s="3"/>
      <c r="I20" s="3" t="s">
        <v>249</v>
      </c>
      <c r="J20" t="str">
        <f>HLOOKUP(I20,$B$17:$G$21,2,FALSE)</f>
        <v>Sales</v>
      </c>
    </row>
    <row r="21" spans="1:13" x14ac:dyDescent="0.3">
      <c r="A21" s="57" t="s">
        <v>250</v>
      </c>
      <c r="B21" s="3">
        <v>2019</v>
      </c>
      <c r="C21" s="3">
        <v>2021</v>
      </c>
      <c r="D21" s="3">
        <v>2020</v>
      </c>
      <c r="E21" s="3">
        <v>2022</v>
      </c>
      <c r="F21" s="3">
        <v>2018</v>
      </c>
      <c r="G21" s="3">
        <v>2023</v>
      </c>
      <c r="H21" s="3"/>
      <c r="I21" s="3" t="s">
        <v>21</v>
      </c>
      <c r="J21" t="str">
        <f>HLOOKUP(I21,$B$17:$G$21,2,FALSE)</f>
        <v>HR</v>
      </c>
    </row>
    <row r="24" spans="1:13" x14ac:dyDescent="0.3">
      <c r="I24" s="71" t="s">
        <v>257</v>
      </c>
      <c r="J24" s="71"/>
    </row>
    <row r="26" spans="1:13" x14ac:dyDescent="0.3">
      <c r="A26" s="2" t="s">
        <v>219</v>
      </c>
      <c r="B26" s="2" t="s">
        <v>220</v>
      </c>
      <c r="C26" s="2" t="s">
        <v>254</v>
      </c>
      <c r="D26" s="2" t="s">
        <v>221</v>
      </c>
      <c r="E26" s="2" t="s">
        <v>222</v>
      </c>
      <c r="F26" s="2" t="s">
        <v>223</v>
      </c>
      <c r="J26">
        <f>_xlfn.XLOOKUP(B27,B27:B34,F27:F34)</f>
        <v>28000</v>
      </c>
      <c r="L26" s="1" t="s">
        <v>258</v>
      </c>
      <c r="M26" s="1" t="s">
        <v>259</v>
      </c>
    </row>
    <row r="27" spans="1:13" x14ac:dyDescent="0.3">
      <c r="A27" s="3" t="s">
        <v>224</v>
      </c>
      <c r="B27" s="3" t="s">
        <v>225</v>
      </c>
      <c r="C27" s="3" t="s">
        <v>11</v>
      </c>
      <c r="D27" s="3" t="s">
        <v>226</v>
      </c>
      <c r="E27" s="56">
        <v>43805</v>
      </c>
      <c r="F27" s="3">
        <v>28000</v>
      </c>
      <c r="I27" s="3" t="s">
        <v>226</v>
      </c>
      <c r="J27" t="str">
        <f>_xlfn.XLOOKUP(I27,D27:D34,B27:B34,"NOT FOUND")</f>
        <v>Arun Kumar</v>
      </c>
      <c r="K27" s="3" t="s">
        <v>240</v>
      </c>
      <c r="L27" t="str" cm="1">
        <f t="array" ref="L27:M27">_xlfn.XLOOKUP(K27,B27:B34,C27:D34)</f>
        <v>HR</v>
      </c>
      <c r="M27" t="str">
        <v>Chennai</v>
      </c>
    </row>
    <row r="28" spans="1:13" x14ac:dyDescent="0.3">
      <c r="A28" s="3" t="s">
        <v>227</v>
      </c>
      <c r="B28" s="3" t="s">
        <v>228</v>
      </c>
      <c r="C28" s="3" t="s">
        <v>19</v>
      </c>
      <c r="D28" s="3" t="s">
        <v>229</v>
      </c>
      <c r="E28" s="56" t="s">
        <v>230</v>
      </c>
      <c r="F28" s="3">
        <v>45000</v>
      </c>
      <c r="I28" s="3" t="s">
        <v>226</v>
      </c>
      <c r="J28" t="str">
        <f>_xlfn.XLOOKUP(I28,D28:D35,B28:B35,"NOT FOUND")</f>
        <v>Suresh M</v>
      </c>
      <c r="K28" s="3" t="s">
        <v>243</v>
      </c>
      <c r="L28" t="str" cm="1">
        <f t="array" ref="L28:M28">_xlfn.XLOOKUP(K28,B28:B35,C28:D35)</f>
        <v>FIN</v>
      </c>
      <c r="M28" t="str">
        <v>Pune</v>
      </c>
    </row>
    <row r="29" spans="1:13" ht="16.8" customHeight="1" x14ac:dyDescent="0.3">
      <c r="A29" s="3" t="s">
        <v>231</v>
      </c>
      <c r="B29" s="3" t="s">
        <v>171</v>
      </c>
      <c r="C29" s="3" t="s">
        <v>255</v>
      </c>
      <c r="D29" s="3" t="s">
        <v>226</v>
      </c>
      <c r="E29" s="56">
        <v>44105</v>
      </c>
      <c r="F29" s="3">
        <v>38000</v>
      </c>
      <c r="I29" s="3" t="s">
        <v>234</v>
      </c>
      <c r="J29" t="str">
        <f t="shared" ref="J29:J30" si="0">_xlfn.XLOOKUP(I29,D29:D36,B29:B36,"NOT FOUND")</f>
        <v>Kavya P</v>
      </c>
      <c r="K29" s="3" t="s">
        <v>246</v>
      </c>
      <c r="L29" t="str" cm="1">
        <f t="array" ref="L29:M29">_xlfn.XLOOKUP(K29,B29:B36,C29:D36)</f>
        <v>SAL</v>
      </c>
      <c r="M29" t="str">
        <v>Bangalore</v>
      </c>
    </row>
    <row r="30" spans="1:13" x14ac:dyDescent="0.3">
      <c r="A30" s="3" t="s">
        <v>232</v>
      </c>
      <c r="B30" s="3" t="s">
        <v>233</v>
      </c>
      <c r="C30" s="3" t="s">
        <v>19</v>
      </c>
      <c r="D30" s="3" t="s">
        <v>234</v>
      </c>
      <c r="E30" s="56" t="s">
        <v>235</v>
      </c>
      <c r="F30" s="3">
        <v>52000</v>
      </c>
      <c r="I30" s="3" t="s">
        <v>226</v>
      </c>
      <c r="J30" t="str">
        <f t="shared" si="0"/>
        <v>Priya K</v>
      </c>
    </row>
    <row r="31" spans="1:13" x14ac:dyDescent="0.3">
      <c r="A31" s="3" t="s">
        <v>236</v>
      </c>
      <c r="B31" s="3" t="s">
        <v>237</v>
      </c>
      <c r="C31" s="3" t="s">
        <v>256</v>
      </c>
      <c r="D31" s="3" t="s">
        <v>238</v>
      </c>
      <c r="E31" s="56">
        <v>43227</v>
      </c>
      <c r="F31" s="3">
        <v>30000</v>
      </c>
    </row>
    <row r="32" spans="1:13" x14ac:dyDescent="0.3">
      <c r="A32" s="3" t="s">
        <v>239</v>
      </c>
      <c r="B32" s="3" t="s">
        <v>240</v>
      </c>
      <c r="C32" s="3" t="s">
        <v>11</v>
      </c>
      <c r="D32" s="3" t="s">
        <v>226</v>
      </c>
      <c r="E32" s="56" t="s">
        <v>241</v>
      </c>
      <c r="F32" s="3">
        <v>26000</v>
      </c>
    </row>
    <row r="33" spans="1:6" x14ac:dyDescent="0.3">
      <c r="A33" s="3" t="s">
        <v>242</v>
      </c>
      <c r="B33" s="3" t="s">
        <v>243</v>
      </c>
      <c r="C33" s="3" t="s">
        <v>255</v>
      </c>
      <c r="D33" s="3" t="s">
        <v>244</v>
      </c>
      <c r="E33" s="56">
        <v>43780</v>
      </c>
      <c r="F33" s="3">
        <v>41000</v>
      </c>
    </row>
    <row r="34" spans="1:6" x14ac:dyDescent="0.3">
      <c r="A34" s="3" t="s">
        <v>245</v>
      </c>
      <c r="B34" s="3" t="s">
        <v>246</v>
      </c>
      <c r="C34" s="3" t="s">
        <v>256</v>
      </c>
      <c r="D34" s="3" t="s">
        <v>229</v>
      </c>
      <c r="E34" s="56" t="s">
        <v>247</v>
      </c>
      <c r="F34" s="3">
        <v>35000</v>
      </c>
    </row>
  </sheetData>
  <mergeCells count="3">
    <mergeCell ref="I2:J2"/>
    <mergeCell ref="I14:J14"/>
    <mergeCell ref="I24:J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7E5D-7721-40EE-A0DC-3DBEF5207AC8}">
  <dimension ref="A1:N14"/>
  <sheetViews>
    <sheetView workbookViewId="0">
      <selection activeCell="I11" sqref="I11"/>
    </sheetView>
  </sheetViews>
  <sheetFormatPr defaultRowHeight="14.4" x14ac:dyDescent="0.3"/>
  <cols>
    <col min="1" max="1" width="13.21875" customWidth="1"/>
    <col min="2" max="2" width="15.21875" customWidth="1"/>
    <col min="3" max="3" width="14.5546875" customWidth="1"/>
  </cols>
  <sheetData>
    <row r="1" spans="1:14" ht="28.8" customHeight="1" x14ac:dyDescent="0.3">
      <c r="A1" s="2" t="s">
        <v>260</v>
      </c>
      <c r="B1" s="2" t="s">
        <v>261</v>
      </c>
      <c r="C1" s="2" t="s">
        <v>262</v>
      </c>
      <c r="G1" s="72" t="s">
        <v>268</v>
      </c>
      <c r="H1" s="70"/>
      <c r="I1" s="70"/>
      <c r="J1" s="70"/>
      <c r="K1" s="70"/>
      <c r="L1" s="70"/>
      <c r="M1" s="70"/>
      <c r="N1" s="70"/>
    </row>
    <row r="2" spans="1:14" x14ac:dyDescent="0.3">
      <c r="A2" s="3" t="s">
        <v>263</v>
      </c>
      <c r="B2" s="3">
        <v>50</v>
      </c>
      <c r="C2" s="3">
        <v>1200</v>
      </c>
    </row>
    <row r="3" spans="1:14" x14ac:dyDescent="0.3">
      <c r="A3" s="3" t="s">
        <v>264</v>
      </c>
      <c r="B3" s="3">
        <v>30</v>
      </c>
      <c r="C3" s="3">
        <v>850</v>
      </c>
      <c r="F3" s="1" t="s">
        <v>270</v>
      </c>
      <c r="H3" t="s">
        <v>269</v>
      </c>
      <c r="I3" t="e">
        <f>VLOOKUP(H3,A2:C6,3,FALSE)</f>
        <v>#N/A</v>
      </c>
    </row>
    <row r="4" spans="1:14" x14ac:dyDescent="0.3">
      <c r="A4" s="3" t="s">
        <v>265</v>
      </c>
      <c r="B4" s="3">
        <v>75</v>
      </c>
      <c r="C4" s="3">
        <v>1500</v>
      </c>
      <c r="H4" t="s">
        <v>266</v>
      </c>
      <c r="I4">
        <f>VLOOKUP(H4,A2:C7,3,FALSE)</f>
        <v>999</v>
      </c>
    </row>
    <row r="5" spans="1:14" x14ac:dyDescent="0.3">
      <c r="A5" s="3" t="s">
        <v>266</v>
      </c>
      <c r="B5" s="3">
        <v>20</v>
      </c>
      <c r="C5" s="3">
        <v>999</v>
      </c>
    </row>
    <row r="6" spans="1:14" x14ac:dyDescent="0.3">
      <c r="A6" s="3" t="s">
        <v>267</v>
      </c>
      <c r="B6" s="3">
        <v>60</v>
      </c>
      <c r="C6" s="3">
        <v>450</v>
      </c>
    </row>
    <row r="7" spans="1:14" x14ac:dyDescent="0.3">
      <c r="F7" s="1" t="s">
        <v>271</v>
      </c>
      <c r="H7" s="3" t="s">
        <v>265</v>
      </c>
      <c r="I7">
        <f>_xlfn.XLOOKUP(H7,A2:A6,C2:C6,"not found",0)</f>
        <v>1500</v>
      </c>
    </row>
    <row r="8" spans="1:14" x14ac:dyDescent="0.3">
      <c r="H8" t="s">
        <v>264</v>
      </c>
      <c r="I8">
        <f>_xlfn.XLOOKUP(H8,A2:A6,B2:B6)</f>
        <v>30</v>
      </c>
      <c r="J8" t="s">
        <v>273</v>
      </c>
    </row>
    <row r="9" spans="1:14" x14ac:dyDescent="0.3">
      <c r="H9" t="s">
        <v>272</v>
      </c>
      <c r="I9" t="str">
        <f>_xlfn.XLOOKUP(H9,A2:A6,C2:C6,"not found")</f>
        <v>not found</v>
      </c>
    </row>
    <row r="10" spans="1:14" x14ac:dyDescent="0.3">
      <c r="H10" t="s">
        <v>274</v>
      </c>
      <c r="I10">
        <f>_xlfn.XLOOKUP(H10&amp;"*",A2:A6,C2:C6,"VALUE NOT FOUND",2)</f>
        <v>1200</v>
      </c>
    </row>
    <row r="11" spans="1:14" x14ac:dyDescent="0.3">
      <c r="I11">
        <f>_xlfn.XLOOKUP(H11&amp;"*",A3:A7,C3:C7,"VALUE NOT FOUND",2)</f>
        <v>850</v>
      </c>
    </row>
    <row r="12" spans="1:14" x14ac:dyDescent="0.3">
      <c r="I12">
        <f t="shared" ref="I12:I14" si="0">_xlfn.XLOOKUP(H12&amp;"*",A4:A8,C4:C8,"VALUE NOT FOUND",2)</f>
        <v>1500</v>
      </c>
    </row>
    <row r="13" spans="1:14" x14ac:dyDescent="0.3">
      <c r="I13">
        <f t="shared" si="0"/>
        <v>999</v>
      </c>
    </row>
    <row r="14" spans="1:14" x14ac:dyDescent="0.3">
      <c r="I14">
        <f t="shared" si="0"/>
        <v>450</v>
      </c>
    </row>
  </sheetData>
  <mergeCells count="1">
    <mergeCell ref="G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1840-C545-4D7E-BFDA-3CD977517F9A}">
  <dimension ref="A1:M7"/>
  <sheetViews>
    <sheetView workbookViewId="0">
      <selection activeCell="I15" sqref="I15"/>
    </sheetView>
  </sheetViews>
  <sheetFormatPr defaultRowHeight="14.4" x14ac:dyDescent="0.3"/>
  <cols>
    <col min="1" max="1" width="16.21875" customWidth="1"/>
    <col min="2" max="2" width="17.88671875" customWidth="1"/>
  </cols>
  <sheetData>
    <row r="1" spans="1:13" ht="28.8" customHeight="1" x14ac:dyDescent="0.3">
      <c r="A1" s="2" t="s">
        <v>275</v>
      </c>
      <c r="B1" s="2" t="s">
        <v>276</v>
      </c>
      <c r="F1" s="59" t="s">
        <v>277</v>
      </c>
      <c r="G1" s="60"/>
      <c r="H1" s="60"/>
      <c r="I1" s="60"/>
      <c r="J1" s="60"/>
      <c r="K1" s="60"/>
      <c r="L1" s="60"/>
      <c r="M1" s="60"/>
    </row>
    <row r="2" spans="1:13" x14ac:dyDescent="0.3">
      <c r="A2" s="3">
        <v>1</v>
      </c>
      <c r="B2" s="3">
        <v>100</v>
      </c>
    </row>
    <row r="3" spans="1:13" x14ac:dyDescent="0.3">
      <c r="A3" s="3">
        <v>10</v>
      </c>
      <c r="B3" s="3">
        <v>95</v>
      </c>
      <c r="F3">
        <v>1</v>
      </c>
      <c r="G3" s="58">
        <f>_xlfn.XLOOKUP(F3,A2:A6,B2:B6,"VALUE NOT FOUND/NOT IN THE DATA",0)</f>
        <v>100</v>
      </c>
    </row>
    <row r="4" spans="1:13" x14ac:dyDescent="0.3">
      <c r="A4" s="3">
        <v>25</v>
      </c>
      <c r="B4" s="3">
        <v>90</v>
      </c>
      <c r="F4">
        <v>10</v>
      </c>
      <c r="G4" s="58">
        <f>_xlfn.XLOOKUP(F4,A2:A7,B2:B7,"VALUE NOT FOUND/NOT IN THE DATA",0)</f>
        <v>95</v>
      </c>
    </row>
    <row r="5" spans="1:13" x14ac:dyDescent="0.3">
      <c r="A5" s="3">
        <v>50</v>
      </c>
      <c r="B5" s="3">
        <v>85</v>
      </c>
      <c r="F5">
        <v>20</v>
      </c>
      <c r="G5" s="61" t="str">
        <f>_xlfn.XLOOKUP(F5,A2:A8,B2:B8,"VALUE NOT FOUND/NOT IN THE DATA",0)</f>
        <v>VALUE NOT FOUND/NOT IN THE DATA</v>
      </c>
    </row>
    <row r="6" spans="1:13" x14ac:dyDescent="0.3">
      <c r="A6" s="3">
        <v>100</v>
      </c>
      <c r="B6" s="3">
        <v>80</v>
      </c>
      <c r="F6">
        <v>30</v>
      </c>
      <c r="G6" s="61" t="str">
        <f>_xlfn.XLOOKUP(F6,A2:A9,B2:B9,"VALUE NOT FOUND/NOT IN THE DATA",0)</f>
        <v>VALUE NOT FOUND/NOT IN THE DATA</v>
      </c>
    </row>
    <row r="7" spans="1:13" x14ac:dyDescent="0.3">
      <c r="F7">
        <v>40</v>
      </c>
      <c r="G7" s="61" t="str">
        <f>_xlfn.XLOOKUP(F7,A2:A10,B2:B10,"VALUE NOT FOUND/NOT IN THE DATA",0)</f>
        <v>VALUE NOT FOUND/NOT IN THE DATA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26EC-FF8C-4FB5-99D0-FE56DF79FFE8}">
  <dimension ref="A1:Q7"/>
  <sheetViews>
    <sheetView workbookViewId="0">
      <selection activeCell="K17" sqref="K17"/>
    </sheetView>
  </sheetViews>
  <sheetFormatPr defaultRowHeight="14.4" x14ac:dyDescent="0.3"/>
  <cols>
    <col min="1" max="1" width="13.21875" customWidth="1"/>
    <col min="2" max="2" width="11.77734375" customWidth="1"/>
    <col min="3" max="3" width="13.5546875" customWidth="1"/>
  </cols>
  <sheetData>
    <row r="1" spans="1:17" ht="28.8" customHeight="1" x14ac:dyDescent="0.3">
      <c r="A1" s="2" t="s">
        <v>0</v>
      </c>
      <c r="B1" s="2" t="s">
        <v>278</v>
      </c>
      <c r="C1" s="2" t="s">
        <v>279</v>
      </c>
    </row>
    <row r="2" spans="1:17" x14ac:dyDescent="0.3">
      <c r="A2" s="3" t="s">
        <v>9</v>
      </c>
      <c r="B2" s="3" t="s">
        <v>280</v>
      </c>
      <c r="C2" s="3" t="s">
        <v>281</v>
      </c>
      <c r="H2" s="1" t="s">
        <v>289</v>
      </c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3" t="s">
        <v>13</v>
      </c>
      <c r="B3" s="3" t="s">
        <v>282</v>
      </c>
      <c r="C3" s="3" t="s">
        <v>283</v>
      </c>
      <c r="H3" s="1"/>
      <c r="I3" s="1" t="s">
        <v>290</v>
      </c>
      <c r="J3" s="1"/>
      <c r="K3" s="1"/>
      <c r="L3" s="1"/>
      <c r="M3" s="1"/>
      <c r="N3" s="1"/>
      <c r="O3" s="1"/>
      <c r="P3" s="1"/>
      <c r="Q3" s="1"/>
    </row>
    <row r="4" spans="1:17" x14ac:dyDescent="0.3">
      <c r="A4" s="3" t="s">
        <v>17</v>
      </c>
      <c r="B4" s="3" t="s">
        <v>284</v>
      </c>
      <c r="C4" s="3" t="s">
        <v>285</v>
      </c>
      <c r="H4" s="1"/>
      <c r="I4" s="1" t="s">
        <v>291</v>
      </c>
      <c r="J4" s="1"/>
      <c r="K4" s="1"/>
      <c r="L4" s="1"/>
      <c r="M4" s="1"/>
      <c r="N4" s="1"/>
      <c r="O4" s="1"/>
      <c r="P4" s="1"/>
      <c r="Q4" s="1"/>
    </row>
    <row r="5" spans="1:17" x14ac:dyDescent="0.3">
      <c r="A5" s="3" t="s">
        <v>20</v>
      </c>
      <c r="B5" s="3" t="s">
        <v>28</v>
      </c>
      <c r="C5" s="3" t="s">
        <v>286</v>
      </c>
      <c r="H5" s="1"/>
      <c r="I5" s="1" t="s">
        <v>292</v>
      </c>
      <c r="J5" s="1"/>
      <c r="K5" s="1"/>
      <c r="L5" s="1"/>
      <c r="M5" s="1"/>
      <c r="N5" s="1"/>
      <c r="O5" s="1"/>
      <c r="P5" s="1"/>
      <c r="Q5" s="1"/>
    </row>
    <row r="6" spans="1:17" x14ac:dyDescent="0.3">
      <c r="A6" s="3" t="s">
        <v>22</v>
      </c>
      <c r="B6" s="3" t="s">
        <v>21</v>
      </c>
      <c r="C6" s="3" t="s">
        <v>287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H7" s="1"/>
      <c r="I7" s="1"/>
      <c r="J7" s="1"/>
      <c r="K7" s="1"/>
      <c r="L7" s="1"/>
      <c r="M7" s="1"/>
      <c r="N7" s="1"/>
      <c r="O7" s="1"/>
      <c r="P7" s="1"/>
      <c r="Q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A459-6AC7-4AC8-A4FC-8C9B3A907FF5}">
  <dimension ref="A1:Q7"/>
  <sheetViews>
    <sheetView workbookViewId="0">
      <selection activeCell="H2" sqref="H2:Q7"/>
    </sheetView>
  </sheetViews>
  <sheetFormatPr defaultRowHeight="14.4" x14ac:dyDescent="0.3"/>
  <cols>
    <col min="1" max="1" width="11.6640625" customWidth="1"/>
  </cols>
  <sheetData>
    <row r="1" spans="1:17" ht="28.8" x14ac:dyDescent="0.3">
      <c r="A1" s="2" t="s">
        <v>0</v>
      </c>
      <c r="B1" s="2" t="s">
        <v>288</v>
      </c>
      <c r="C1" s="2" t="s">
        <v>278</v>
      </c>
      <c r="D1" s="2" t="s">
        <v>279</v>
      </c>
    </row>
    <row r="2" spans="1:17" x14ac:dyDescent="0.3">
      <c r="A2" s="3" t="s">
        <v>17</v>
      </c>
      <c r="B2" s="3">
        <v>45000</v>
      </c>
      <c r="C2" s="3" t="str" cm="1">
        <f t="array" ref="C2:D2">_xlfn.XLOOKUP(A2,'TASK 3 LOOKUP'!A2:A6,'TASK 3 LOOKUP'!B2:C6,"NA")</f>
        <v>Sneha</v>
      </c>
      <c r="D2" s="3" t="str">
        <v>Iyer</v>
      </c>
      <c r="H2" s="1" t="s">
        <v>289</v>
      </c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3" t="s">
        <v>9</v>
      </c>
      <c r="B3" s="3">
        <v>52000</v>
      </c>
      <c r="C3" s="3" t="str" cm="1">
        <f t="array" ref="C3:D3">_xlfn.XLOOKUP(A3,'TASK 3 LOOKUP'!A2:A7,'TASK 3 LOOKUP'!B2:C7,"NA")</f>
        <v>Janani</v>
      </c>
      <c r="D3" s="3" t="str">
        <v>Kumar</v>
      </c>
      <c r="H3" s="1"/>
      <c r="I3" s="1" t="s">
        <v>290</v>
      </c>
      <c r="J3" s="1"/>
      <c r="K3" s="1"/>
      <c r="L3" s="1"/>
      <c r="M3" s="1"/>
      <c r="N3" s="1"/>
      <c r="O3" s="1"/>
      <c r="P3" s="1"/>
      <c r="Q3" s="1"/>
    </row>
    <row r="4" spans="1:17" x14ac:dyDescent="0.3">
      <c r="A4" s="3" t="s">
        <v>22</v>
      </c>
      <c r="B4" s="3">
        <v>48000</v>
      </c>
      <c r="C4" s="3" t="str" cm="1">
        <f t="array" ref="C4:D4">_xlfn.XLOOKUP(A4,'TASK 3 LOOKUP'!A4:A8,'TASK 3 LOOKUP'!B4:C8,"NA")</f>
        <v>Priya</v>
      </c>
      <c r="D4" s="3" t="str">
        <v>Sharma</v>
      </c>
      <c r="H4" s="1"/>
      <c r="I4" s="1" t="s">
        <v>291</v>
      </c>
      <c r="J4" s="1"/>
      <c r="K4" s="1"/>
      <c r="L4" s="1"/>
      <c r="M4" s="1"/>
      <c r="N4" s="1"/>
      <c r="O4" s="1"/>
      <c r="P4" s="1"/>
      <c r="Q4" s="1"/>
    </row>
    <row r="5" spans="1:17" x14ac:dyDescent="0.3">
      <c r="H5" s="1"/>
      <c r="I5" s="1" t="s">
        <v>292</v>
      </c>
      <c r="J5" s="1"/>
      <c r="K5" s="1"/>
      <c r="L5" s="1"/>
      <c r="M5" s="1"/>
      <c r="N5" s="1"/>
      <c r="O5" s="1"/>
      <c r="P5" s="1"/>
      <c r="Q5" s="1"/>
    </row>
    <row r="6" spans="1:17" x14ac:dyDescent="0.3"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H7" s="1"/>
      <c r="I7" s="1"/>
      <c r="J7" s="1"/>
      <c r="K7" s="1"/>
      <c r="L7" s="1"/>
      <c r="M7" s="1"/>
      <c r="N7" s="1"/>
      <c r="O7" s="1"/>
      <c r="P7" s="1"/>
      <c r="Q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035A-56EC-4FFA-8A01-788F85C472B1}">
  <dimension ref="A1:C6"/>
  <sheetViews>
    <sheetView workbookViewId="0">
      <selection activeCell="G15" sqref="G15"/>
    </sheetView>
  </sheetViews>
  <sheetFormatPr defaultRowHeight="14.4" x14ac:dyDescent="0.3"/>
  <cols>
    <col min="1" max="1" width="13.44140625" customWidth="1"/>
    <col min="2" max="2" width="13.6640625" customWidth="1"/>
    <col min="3" max="3" width="14" customWidth="1"/>
  </cols>
  <sheetData>
    <row r="1" spans="1:3" ht="28.8" x14ac:dyDescent="0.3">
      <c r="A1" s="2" t="s">
        <v>0</v>
      </c>
      <c r="B1" s="2" t="s">
        <v>278</v>
      </c>
      <c r="C1" s="2" t="s">
        <v>279</v>
      </c>
    </row>
    <row r="2" spans="1:3" x14ac:dyDescent="0.3">
      <c r="A2" s="3" t="s">
        <v>9</v>
      </c>
      <c r="B2" s="3" t="s">
        <v>280</v>
      </c>
      <c r="C2" s="3" t="s">
        <v>281</v>
      </c>
    </row>
    <row r="3" spans="1:3" x14ac:dyDescent="0.3">
      <c r="A3" s="3" t="s">
        <v>13</v>
      </c>
      <c r="B3" s="3" t="s">
        <v>282</v>
      </c>
      <c r="C3" s="3" t="s">
        <v>283</v>
      </c>
    </row>
    <row r="4" spans="1:3" x14ac:dyDescent="0.3">
      <c r="A4" s="3" t="s">
        <v>17</v>
      </c>
      <c r="B4" s="3" t="s">
        <v>284</v>
      </c>
      <c r="C4" s="3" t="s">
        <v>285</v>
      </c>
    </row>
    <row r="5" spans="1:3" x14ac:dyDescent="0.3">
      <c r="A5" s="3" t="s">
        <v>20</v>
      </c>
      <c r="B5" s="3" t="s">
        <v>28</v>
      </c>
      <c r="C5" s="3" t="s">
        <v>286</v>
      </c>
    </row>
    <row r="6" spans="1:3" x14ac:dyDescent="0.3">
      <c r="A6" s="3" t="s">
        <v>22</v>
      </c>
      <c r="B6" s="3" t="s">
        <v>21</v>
      </c>
      <c r="C6" s="3" t="s">
        <v>287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C919-563C-4771-8080-71B995C2D93C}">
  <dimension ref="A1:B6"/>
  <sheetViews>
    <sheetView workbookViewId="0">
      <selection activeCell="J16" sqref="J16"/>
    </sheetView>
  </sheetViews>
  <sheetFormatPr defaultRowHeight="14.4" x14ac:dyDescent="0.3"/>
  <cols>
    <col min="1" max="1" width="15.44140625" customWidth="1"/>
    <col min="2" max="2" width="16.44140625" customWidth="1"/>
  </cols>
  <sheetData>
    <row r="1" spans="1:2" ht="28.8" x14ac:dyDescent="0.3">
      <c r="A1" s="2" t="s">
        <v>0</v>
      </c>
      <c r="B1" s="2" t="s">
        <v>293</v>
      </c>
    </row>
    <row r="2" spans="1:2" x14ac:dyDescent="0.3">
      <c r="A2" s="3" t="s">
        <v>9</v>
      </c>
      <c r="B2" s="3" t="s">
        <v>226</v>
      </c>
    </row>
    <row r="3" spans="1:2" ht="28.8" x14ac:dyDescent="0.3">
      <c r="A3" s="3" t="s">
        <v>13</v>
      </c>
      <c r="B3" s="3" t="s">
        <v>229</v>
      </c>
    </row>
    <row r="4" spans="1:2" ht="28.8" x14ac:dyDescent="0.3">
      <c r="A4" s="3" t="s">
        <v>17</v>
      </c>
      <c r="B4" s="3" t="s">
        <v>294</v>
      </c>
    </row>
    <row r="5" spans="1:2" ht="28.8" x14ac:dyDescent="0.3">
      <c r="A5" s="3" t="s">
        <v>20</v>
      </c>
      <c r="B5" s="3" t="s">
        <v>234</v>
      </c>
    </row>
    <row r="6" spans="1:2" x14ac:dyDescent="0.3">
      <c r="A6" s="3" t="s">
        <v>22</v>
      </c>
      <c r="B6" s="3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6B0E-0425-442E-B417-F251B3CF9021}">
  <dimension ref="A1:Q5"/>
  <sheetViews>
    <sheetView workbookViewId="0">
      <selection activeCell="D5" sqref="D5"/>
    </sheetView>
  </sheetViews>
  <sheetFormatPr defaultRowHeight="14.4" x14ac:dyDescent="0.3"/>
  <cols>
    <col min="3" max="3" width="12.5546875" customWidth="1"/>
    <col min="4" max="4" width="13.5546875" customWidth="1"/>
  </cols>
  <sheetData>
    <row r="1" spans="1:17" ht="28.8" x14ac:dyDescent="0.3">
      <c r="A1" s="2" t="s">
        <v>0</v>
      </c>
      <c r="B1" s="2" t="s">
        <v>288</v>
      </c>
      <c r="C1" s="2" t="s">
        <v>279</v>
      </c>
      <c r="D1" s="2" t="s">
        <v>293</v>
      </c>
    </row>
    <row r="2" spans="1:17" x14ac:dyDescent="0.3">
      <c r="A2" s="3" t="s">
        <v>17</v>
      </c>
      <c r="B2" s="3">
        <v>45000</v>
      </c>
      <c r="C2" s="3" t="str">
        <f>_xlfn.XLOOKUP(A2,'TASK 4 '!A2:A6,'TASK 4 '!C2:C6," ")</f>
        <v>Iyer</v>
      </c>
      <c r="D2" s="3" t="str">
        <f>_xlfn.XLOOKUP(A2,'TASK 4.1 REF DATA'!$A$2:$A$6,'TASK 4.1 REF DATA'!B2:B6,"NO VALUE")</f>
        <v>Coimbatore</v>
      </c>
      <c r="F2" s="3" t="s">
        <v>295</v>
      </c>
    </row>
    <row r="3" spans="1:17" x14ac:dyDescent="0.3">
      <c r="A3" s="3" t="s">
        <v>9</v>
      </c>
      <c r="B3" s="3">
        <v>52000</v>
      </c>
      <c r="C3" s="3" t="str">
        <f>_xlfn.XLOOKUP(A3,'TASK 4 '!A2:A7,'TASK 4 '!C2:C7," ")</f>
        <v>Kumar</v>
      </c>
      <c r="D3" s="3" t="str">
        <f>_xlfn.XLOOKUP(A3,'TASK 4.1 REF DATA'!$A$2:$A$6,'TASK 4.1 REF DATA'!B3:B7,"NO VALUE")</f>
        <v>Bangalore</v>
      </c>
      <c r="F3">
        <v>1</v>
      </c>
      <c r="G3" s="70" t="s">
        <v>296</v>
      </c>
      <c r="H3" s="70"/>
      <c r="I3" s="70"/>
      <c r="J3" s="70"/>
      <c r="K3" s="70"/>
      <c r="L3" s="70"/>
      <c r="M3" s="70"/>
      <c r="N3" s="70"/>
      <c r="O3" s="70"/>
      <c r="P3" s="70"/>
      <c r="Q3" s="70"/>
    </row>
    <row r="4" spans="1:17" x14ac:dyDescent="0.3">
      <c r="A4" s="3" t="s">
        <v>22</v>
      </c>
      <c r="B4" s="3">
        <v>48000</v>
      </c>
      <c r="C4" s="3" t="str">
        <f>_xlfn.XLOOKUP(A4,'TASK 4 '!A4:A8,'TASK 4 '!C4:C8," ")</f>
        <v>Sharma</v>
      </c>
      <c r="D4" s="3" t="str">
        <f>_xlfn.XLOOKUP('TASK 4 FINAL DATA '!A4,'TASK 4.1 REF DATA'!A2:A6,'TASK 4.1 REF DATA'!B2:B6," ")</f>
        <v>Pune</v>
      </c>
      <c r="G4" s="70" t="s">
        <v>297</v>
      </c>
      <c r="H4" s="70"/>
      <c r="I4" s="70"/>
      <c r="J4" s="70"/>
      <c r="K4" s="70"/>
      <c r="L4" s="70"/>
      <c r="M4" s="70"/>
      <c r="N4" s="70"/>
      <c r="O4" s="70"/>
      <c r="P4" s="70"/>
    </row>
    <row r="5" spans="1:17" x14ac:dyDescent="0.3">
      <c r="G5" s="70" t="s">
        <v>298</v>
      </c>
      <c r="H5" s="70"/>
      <c r="I5" s="70"/>
      <c r="J5" s="70"/>
      <c r="K5" s="70"/>
      <c r="L5" s="70"/>
      <c r="M5" s="70"/>
      <c r="N5" s="70"/>
      <c r="O5" s="70"/>
      <c r="P5" s="70"/>
    </row>
  </sheetData>
  <mergeCells count="3">
    <mergeCell ref="G3:Q3"/>
    <mergeCell ref="G4:P4"/>
    <mergeCell ref="G5:P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AC5D-07DC-4DBA-86DC-2BEDE2A7DA19}">
  <dimension ref="A1:C5"/>
  <sheetViews>
    <sheetView workbookViewId="0">
      <selection activeCell="C9" sqref="C9"/>
    </sheetView>
  </sheetViews>
  <sheetFormatPr defaultRowHeight="14.4" x14ac:dyDescent="0.3"/>
  <cols>
    <col min="3" max="3" width="12.44140625" customWidth="1"/>
  </cols>
  <sheetData>
    <row r="1" spans="1:3" ht="28.8" x14ac:dyDescent="0.3">
      <c r="A1" s="2" t="s">
        <v>299</v>
      </c>
      <c r="B1" s="2" t="s">
        <v>300</v>
      </c>
      <c r="C1" s="2" t="s">
        <v>301</v>
      </c>
    </row>
    <row r="2" spans="1:3" x14ac:dyDescent="0.3">
      <c r="A2" s="3">
        <v>0</v>
      </c>
      <c r="B2" s="3">
        <v>20000</v>
      </c>
      <c r="C2" s="3" t="s">
        <v>302</v>
      </c>
    </row>
    <row r="3" spans="1:3" x14ac:dyDescent="0.3">
      <c r="A3" s="3">
        <v>20001</v>
      </c>
      <c r="B3" s="3">
        <v>40000</v>
      </c>
      <c r="C3" s="3" t="s">
        <v>303</v>
      </c>
    </row>
    <row r="4" spans="1:3" x14ac:dyDescent="0.3">
      <c r="A4" s="3">
        <v>40001</v>
      </c>
      <c r="B4" s="3">
        <v>60000</v>
      </c>
      <c r="C4" s="3" t="s">
        <v>304</v>
      </c>
    </row>
    <row r="5" spans="1:3" x14ac:dyDescent="0.3">
      <c r="A5" s="3">
        <v>60001</v>
      </c>
      <c r="B5" s="3">
        <v>80000</v>
      </c>
      <c r="C5" s="3" t="s">
        <v>305</v>
      </c>
    </row>
  </sheetData>
  <sortState xmlns:xlrd2="http://schemas.microsoft.com/office/spreadsheetml/2017/richdata2" ref="A2:A5">
    <sortCondition ref="A2:A5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1BCB-EDD8-4FD4-87F2-2B0945834F9C}">
  <dimension ref="A1:E6"/>
  <sheetViews>
    <sheetView workbookViewId="0">
      <selection activeCell="R14" sqref="R14"/>
    </sheetView>
  </sheetViews>
  <sheetFormatPr defaultRowHeight="14.4" x14ac:dyDescent="0.3"/>
  <cols>
    <col min="1" max="1" width="13" customWidth="1"/>
    <col min="3" max="3" width="14" customWidth="1"/>
  </cols>
  <sheetData>
    <row r="1" spans="1:5" ht="28.8" x14ac:dyDescent="0.3">
      <c r="A1" s="2" t="s">
        <v>0</v>
      </c>
      <c r="B1" s="2" t="s">
        <v>223</v>
      </c>
      <c r="C1" s="2" t="s">
        <v>301</v>
      </c>
    </row>
    <row r="2" spans="1:5" x14ac:dyDescent="0.3">
      <c r="A2" s="3" t="s">
        <v>9</v>
      </c>
      <c r="B2" s="3">
        <v>52000</v>
      </c>
      <c r="C2" s="3" t="str">
        <f>_xlfn.XLOOKUP(B2, 'TASK 5'!A:A, 'TASK 5'!C:C, , -1)</f>
        <v>Band C</v>
      </c>
      <c r="E2" t="str">
        <f>_xlfn.XLOOKUP(B2,'TASK 5'!$A$2:$A$5,'TASK 5'!$C$2:$C$5,"NOT FOUND",-1)</f>
        <v>Band C</v>
      </c>
    </row>
    <row r="3" spans="1:5" x14ac:dyDescent="0.3">
      <c r="A3" s="3" t="s">
        <v>13</v>
      </c>
      <c r="B3" s="3">
        <v>38000</v>
      </c>
      <c r="C3" s="3" t="str">
        <f>_xlfn.XLOOKUP(B3, 'TASK 5'!A:A, 'TASK 5'!C:C, , -1)</f>
        <v>Band B</v>
      </c>
      <c r="E3" t="str">
        <f>_xlfn.XLOOKUP(B3,'TASK 5'!$A$2:$A$5,'TASK 5'!$C$2:$C$5,"NOT FOUND",-1)</f>
        <v>Band B</v>
      </c>
    </row>
    <row r="4" spans="1:5" x14ac:dyDescent="0.3">
      <c r="A4" s="3" t="s">
        <v>17</v>
      </c>
      <c r="B4" s="3">
        <v>45000</v>
      </c>
      <c r="C4" s="3" t="str">
        <f>_xlfn.XLOOKUP(B4, 'TASK 5'!A:A, 'TASK 5'!C:C, , -1)</f>
        <v>Band C</v>
      </c>
      <c r="E4" t="str">
        <f>_xlfn.XLOOKUP(B4,'TASK 5'!$A$2:$A$5,'TASK 5'!$C$2:$C$5,"NOT FOUND",-1)</f>
        <v>Band C</v>
      </c>
    </row>
    <row r="5" spans="1:5" x14ac:dyDescent="0.3">
      <c r="A5" s="3" t="s">
        <v>20</v>
      </c>
      <c r="B5" s="3">
        <v>65000</v>
      </c>
      <c r="C5" s="3" t="str">
        <f>_xlfn.XLOOKUP(B5, 'TASK 5'!A:A, 'TASK 5'!C:C, , -1)</f>
        <v>Band D</v>
      </c>
      <c r="E5" t="str">
        <f>_xlfn.XLOOKUP(B5,'TASK 5'!$A$2:$A$5,'TASK 5'!$C$2:$C$5,"NOT FOUND",-1)</f>
        <v>Band D</v>
      </c>
    </row>
    <row r="6" spans="1:5" x14ac:dyDescent="0.3">
      <c r="A6" s="3" t="s">
        <v>22</v>
      </c>
      <c r="B6" s="3">
        <v>18000</v>
      </c>
      <c r="C6" s="3" t="str">
        <f>_xlfn.XLOOKUP(B6, 'TASK 5'!A:A, 'TASK 5'!C:C, , -1)</f>
        <v>Band A</v>
      </c>
      <c r="E6" t="str">
        <f>_xlfn.XLOOKUP(B6,'TASK 5'!$A$2:$A$5,'TASK 5'!$C$2:$C$5,"NOT FOUND",-1)</f>
        <v>Band 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624B-E8DD-4332-9664-14D6B26AE94C}">
  <dimension ref="A1:O27"/>
  <sheetViews>
    <sheetView topLeftCell="A6" workbookViewId="0">
      <selection activeCell="O28" sqref="O28"/>
    </sheetView>
  </sheetViews>
  <sheetFormatPr defaultRowHeight="14.4" x14ac:dyDescent="0.3"/>
  <cols>
    <col min="3" max="3" width="15.77734375" customWidth="1"/>
  </cols>
  <sheetData>
    <row r="1" spans="1:15" x14ac:dyDescent="0.3">
      <c r="A1" s="2" t="s">
        <v>219</v>
      </c>
      <c r="B1" s="2" t="s">
        <v>1</v>
      </c>
      <c r="C1" s="2" t="s">
        <v>2</v>
      </c>
      <c r="D1" s="2" t="s">
        <v>223</v>
      </c>
    </row>
    <row r="2" spans="1:15" x14ac:dyDescent="0.3">
      <c r="A2" s="3">
        <v>101</v>
      </c>
      <c r="B2" s="3" t="s">
        <v>248</v>
      </c>
      <c r="C2" s="3" t="s">
        <v>11</v>
      </c>
      <c r="D2" s="3">
        <v>25000</v>
      </c>
      <c r="I2" s="74" t="s">
        <v>306</v>
      </c>
      <c r="J2" s="74"/>
      <c r="K2" s="74"/>
      <c r="L2" s="74"/>
      <c r="M2" s="74"/>
      <c r="N2" s="74"/>
      <c r="O2" s="62">
        <f>MATCH(A4,A2:A6,0)</f>
        <v>3</v>
      </c>
    </row>
    <row r="3" spans="1:15" x14ac:dyDescent="0.3">
      <c r="A3" s="3">
        <v>102</v>
      </c>
      <c r="B3" s="3" t="s">
        <v>34</v>
      </c>
      <c r="C3" s="3" t="s">
        <v>19</v>
      </c>
      <c r="D3" s="3">
        <v>32000</v>
      </c>
      <c r="O3" s="62"/>
    </row>
    <row r="4" spans="1:15" x14ac:dyDescent="0.3">
      <c r="A4" s="3">
        <v>103</v>
      </c>
      <c r="B4" s="3" t="s">
        <v>18</v>
      </c>
      <c r="C4" s="3" t="s">
        <v>24</v>
      </c>
      <c r="D4" s="3">
        <v>28000</v>
      </c>
      <c r="I4" s="74" t="s">
        <v>307</v>
      </c>
      <c r="J4" s="74"/>
      <c r="K4" s="74"/>
      <c r="L4" s="74"/>
      <c r="M4" s="74"/>
      <c r="N4" s="74"/>
      <c r="O4" s="62" t="str">
        <f>INDEX(A2:D6,4,2)</f>
        <v>Meena</v>
      </c>
    </row>
    <row r="5" spans="1:15" x14ac:dyDescent="0.3">
      <c r="A5" s="3">
        <v>104</v>
      </c>
      <c r="B5" s="3" t="s">
        <v>26</v>
      </c>
      <c r="C5" s="3" t="s">
        <v>19</v>
      </c>
      <c r="D5" s="3">
        <v>35000</v>
      </c>
      <c r="O5" s="62"/>
    </row>
    <row r="6" spans="1:15" x14ac:dyDescent="0.3">
      <c r="A6" s="3">
        <v>105</v>
      </c>
      <c r="B6" s="3" t="s">
        <v>282</v>
      </c>
      <c r="C6" s="3" t="s">
        <v>11</v>
      </c>
      <c r="D6" s="3">
        <v>27000</v>
      </c>
      <c r="I6" s="74" t="s">
        <v>308</v>
      </c>
      <c r="J6" s="74"/>
      <c r="K6" s="74"/>
      <c r="L6" s="74"/>
      <c r="M6" s="74"/>
      <c r="N6" s="74"/>
      <c r="O6" s="62">
        <f>INDEX(A2:D6,2,4)</f>
        <v>32000</v>
      </c>
    </row>
    <row r="7" spans="1:15" x14ac:dyDescent="0.3">
      <c r="O7" s="62"/>
    </row>
    <row r="8" spans="1:15" x14ac:dyDescent="0.3">
      <c r="I8" s="74" t="s">
        <v>309</v>
      </c>
      <c r="J8" s="74"/>
      <c r="K8" s="74"/>
      <c r="L8" s="74"/>
      <c r="M8" s="74"/>
      <c r="N8" s="74"/>
      <c r="O8" s="62" t="str">
        <f>INDEX(A2:D6,5,3)</f>
        <v>HR</v>
      </c>
    </row>
    <row r="10" spans="1:15" x14ac:dyDescent="0.3">
      <c r="J10">
        <v>105</v>
      </c>
    </row>
    <row r="13" spans="1:15" x14ac:dyDescent="0.3">
      <c r="C13" s="72" t="s">
        <v>316</v>
      </c>
      <c r="D13" s="72"/>
      <c r="E13" s="72"/>
      <c r="F13" s="72"/>
    </row>
    <row r="14" spans="1:15" x14ac:dyDescent="0.3">
      <c r="C14" s="72"/>
      <c r="D14" s="72"/>
      <c r="E14" s="72"/>
      <c r="F14" s="72"/>
    </row>
    <row r="21" spans="1:15" x14ac:dyDescent="0.3">
      <c r="I21" s="73" t="s">
        <v>318</v>
      </c>
      <c r="J21" s="74"/>
      <c r="K21" s="74"/>
      <c r="L21" s="74"/>
      <c r="M21" s="74"/>
      <c r="O21" s="62" t="str">
        <f>INDEX(A23:D26,2,1)</f>
        <v>Bala</v>
      </c>
    </row>
    <row r="22" spans="1:15" x14ac:dyDescent="0.3">
      <c r="A22" s="2" t="s">
        <v>310</v>
      </c>
      <c r="B22" s="2" t="s">
        <v>311</v>
      </c>
      <c r="C22" s="2" t="s">
        <v>312</v>
      </c>
      <c r="D22" s="2" t="s">
        <v>313</v>
      </c>
      <c r="I22" s="74"/>
      <c r="J22" s="74"/>
      <c r="K22" s="74"/>
      <c r="L22" s="74"/>
      <c r="M22" s="74"/>
      <c r="O22" s="62"/>
    </row>
    <row r="23" spans="1:15" x14ac:dyDescent="0.3">
      <c r="A23" s="3" t="s">
        <v>10</v>
      </c>
      <c r="B23" s="3">
        <v>78</v>
      </c>
      <c r="C23" s="3">
        <v>82</v>
      </c>
      <c r="D23" s="3">
        <v>75</v>
      </c>
      <c r="I23" s="74"/>
      <c r="J23" s="74"/>
      <c r="K23" s="74"/>
      <c r="L23" s="74"/>
      <c r="M23" s="74"/>
      <c r="O23" s="62" t="str">
        <f>INDEX(A22:D26,1,2)</f>
        <v>Math</v>
      </c>
    </row>
    <row r="24" spans="1:15" x14ac:dyDescent="0.3">
      <c r="A24" s="3" t="s">
        <v>32</v>
      </c>
      <c r="B24" s="3">
        <v>85</v>
      </c>
      <c r="C24" s="3">
        <v>79</v>
      </c>
      <c r="D24" s="3">
        <v>88</v>
      </c>
      <c r="O24" s="62"/>
    </row>
    <row r="25" spans="1:15" x14ac:dyDescent="0.3">
      <c r="A25" s="3" t="s">
        <v>314</v>
      </c>
      <c r="B25" s="3">
        <v>90</v>
      </c>
      <c r="C25" s="3">
        <v>91</v>
      </c>
      <c r="D25" s="3">
        <v>89</v>
      </c>
      <c r="O25" s="62"/>
    </row>
    <row r="26" spans="1:15" x14ac:dyDescent="0.3">
      <c r="A26" s="3" t="s">
        <v>315</v>
      </c>
      <c r="B26" s="3">
        <v>72</v>
      </c>
      <c r="C26" s="3">
        <v>68</v>
      </c>
      <c r="D26" s="3">
        <v>70</v>
      </c>
      <c r="I26" s="73" t="s">
        <v>317</v>
      </c>
      <c r="J26" s="74"/>
      <c r="K26" s="74"/>
      <c r="L26" s="74"/>
      <c r="M26" s="74"/>
      <c r="O26" s="62">
        <f>INDEX(A2:D6,MATCH(MAX(D2:D6),D2:D6,0),4)</f>
        <v>35000</v>
      </c>
    </row>
    <row r="27" spans="1:15" x14ac:dyDescent="0.3">
      <c r="I27" s="74"/>
      <c r="J27" s="74"/>
      <c r="K27" s="74"/>
      <c r="L27" s="74"/>
      <c r="M27" s="74"/>
      <c r="O27" s="62" t="str">
        <f>INDEX(A2:D6,MATCH(35000,D2:D6,0),2)</f>
        <v>Meena</v>
      </c>
    </row>
  </sheetData>
  <mergeCells count="7">
    <mergeCell ref="C13:F14"/>
    <mergeCell ref="I21:M23"/>
    <mergeCell ref="I26:M27"/>
    <mergeCell ref="I2:N2"/>
    <mergeCell ref="I4:N4"/>
    <mergeCell ref="I6:N6"/>
    <mergeCell ref="I8:N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A06A-5198-4DD9-A5C6-26DC4C11B399}">
  <dimension ref="A2:Y63"/>
  <sheetViews>
    <sheetView tabSelected="1" workbookViewId="0">
      <selection activeCell="H40" sqref="H40:L40"/>
    </sheetView>
  </sheetViews>
  <sheetFormatPr defaultRowHeight="14.4" x14ac:dyDescent="0.3"/>
  <cols>
    <col min="3" max="3" width="13.6640625" customWidth="1"/>
    <col min="4" max="4" width="13.77734375" customWidth="1"/>
    <col min="5" max="5" width="16.33203125" style="66" customWidth="1"/>
    <col min="6" max="6" width="9.5546875" bestFit="1" customWidth="1"/>
    <col min="17" max="17" width="10.5546875" bestFit="1" customWidth="1"/>
    <col min="23" max="23" width="10.5546875" bestFit="1" customWidth="1"/>
    <col min="25" max="25" width="10.5546875" bestFit="1" customWidth="1"/>
  </cols>
  <sheetData>
    <row r="2" spans="1:17" ht="18" x14ac:dyDescent="0.35">
      <c r="K2" s="75" t="s">
        <v>327</v>
      </c>
      <c r="L2" s="75"/>
      <c r="M2" s="75"/>
    </row>
    <row r="3" spans="1:17" x14ac:dyDescent="0.3">
      <c r="A3" s="64" t="s">
        <v>219</v>
      </c>
      <c r="B3" s="2" t="s">
        <v>1</v>
      </c>
      <c r="C3" s="2" t="s">
        <v>2</v>
      </c>
      <c r="D3" s="64" t="s">
        <v>223</v>
      </c>
      <c r="E3" s="65" t="s">
        <v>319</v>
      </c>
    </row>
    <row r="4" spans="1:17" x14ac:dyDescent="0.3">
      <c r="A4" s="63" t="s">
        <v>224</v>
      </c>
      <c r="B4" s="3" t="s">
        <v>248</v>
      </c>
      <c r="C4" s="3" t="s">
        <v>19</v>
      </c>
      <c r="D4" s="63">
        <v>35000</v>
      </c>
      <c r="E4" s="56">
        <v>44536</v>
      </c>
      <c r="F4" s="50">
        <f>DATE(
VALUE(RIGHT(E4,4)),
VALUE(MID(E4,4,2)),
VALUE(LEFT(E4,2))
)</f>
        <v>963889</v>
      </c>
      <c r="H4" s="76" t="s">
        <v>324</v>
      </c>
      <c r="I4" s="76"/>
      <c r="J4" s="76"/>
      <c r="K4" s="76"/>
      <c r="L4" s="76"/>
      <c r="M4" t="str" cm="1">
        <f t="array" ref="M4:Q10">_xlfn._xlws.SORT(A4:E10,4,1)</f>
        <v>E105</v>
      </c>
      <c r="N4" t="str">
        <v>Sanjay</v>
      </c>
      <c r="O4" t="str">
        <v>HR</v>
      </c>
      <c r="P4" s="68">
        <v>26000</v>
      </c>
      <c r="Q4" s="67">
        <v>44323</v>
      </c>
    </row>
    <row r="5" spans="1:17" x14ac:dyDescent="0.3">
      <c r="A5" s="63" t="s">
        <v>227</v>
      </c>
      <c r="B5" s="3" t="s">
        <v>21</v>
      </c>
      <c r="C5" s="3" t="s">
        <v>11</v>
      </c>
      <c r="D5" s="63">
        <v>28000</v>
      </c>
      <c r="E5" s="56" t="s">
        <v>321</v>
      </c>
      <c r="F5" s="50">
        <f t="shared" ref="F5:F10" si="0">DATE(
VALUE(RIGHT(E5,4)),
VALUE(MID(E5,4,2)),
VALUE(LEFT(E5,2))
)</f>
        <v>43915</v>
      </c>
      <c r="M5" t="str">
        <v>E102</v>
      </c>
      <c r="N5" t="str">
        <v>Priya</v>
      </c>
      <c r="O5" t="str">
        <v>HR</v>
      </c>
      <c r="P5" s="68">
        <v>28000</v>
      </c>
      <c r="Q5" s="67" t="str">
        <v>25/03/2020</v>
      </c>
    </row>
    <row r="6" spans="1:17" x14ac:dyDescent="0.3">
      <c r="A6" s="63" t="s">
        <v>231</v>
      </c>
      <c r="B6" s="3" t="s">
        <v>18</v>
      </c>
      <c r="C6" s="3" t="s">
        <v>24</v>
      </c>
      <c r="D6" s="63">
        <v>42000</v>
      </c>
      <c r="E6" s="56">
        <v>43739</v>
      </c>
      <c r="F6" s="50">
        <f t="shared" si="0"/>
        <v>672880</v>
      </c>
      <c r="M6" t="str">
        <v>E104</v>
      </c>
      <c r="N6" t="str">
        <v>Divya</v>
      </c>
      <c r="O6" t="str">
        <v>IT</v>
      </c>
      <c r="P6" s="68">
        <v>30000</v>
      </c>
      <c r="Q6" s="67" t="str">
        <v>18/11/2022</v>
      </c>
    </row>
    <row r="7" spans="1:17" x14ac:dyDescent="0.3">
      <c r="A7" s="63" t="s">
        <v>232</v>
      </c>
      <c r="B7" s="3" t="s">
        <v>34</v>
      </c>
      <c r="C7" s="3" t="s">
        <v>19</v>
      </c>
      <c r="D7" s="63">
        <v>30000</v>
      </c>
      <c r="E7" s="56" t="s">
        <v>322</v>
      </c>
      <c r="F7" s="50">
        <f t="shared" si="0"/>
        <v>44883</v>
      </c>
      <c r="M7" t="str">
        <v>E101</v>
      </c>
      <c r="N7" t="str">
        <v>Arun</v>
      </c>
      <c r="O7" t="str">
        <v>IT</v>
      </c>
      <c r="P7" s="68">
        <v>35000</v>
      </c>
      <c r="Q7" s="67">
        <v>44536</v>
      </c>
    </row>
    <row r="8" spans="1:17" x14ac:dyDescent="0.3">
      <c r="A8" s="63" t="s">
        <v>236</v>
      </c>
      <c r="B8" s="3" t="s">
        <v>320</v>
      </c>
      <c r="C8" s="3" t="s">
        <v>11</v>
      </c>
      <c r="D8" s="63">
        <v>26000</v>
      </c>
      <c r="E8" s="56">
        <v>44323</v>
      </c>
      <c r="F8" s="50">
        <f t="shared" si="0"/>
        <v>885697</v>
      </c>
      <c r="M8" t="str">
        <v>E106</v>
      </c>
      <c r="N8" t="str">
        <v>Meena</v>
      </c>
      <c r="O8" t="str">
        <v>Finance</v>
      </c>
      <c r="P8" s="68">
        <v>39000</v>
      </c>
      <c r="Q8" s="67" t="str">
        <v>14/09/2020</v>
      </c>
    </row>
    <row r="9" spans="1:17" x14ac:dyDescent="0.3">
      <c r="A9" s="63" t="s">
        <v>239</v>
      </c>
      <c r="B9" s="3" t="s">
        <v>26</v>
      </c>
      <c r="C9" s="3" t="s">
        <v>24</v>
      </c>
      <c r="D9" s="63">
        <v>39000</v>
      </c>
      <c r="E9" s="56" t="s">
        <v>323</v>
      </c>
      <c r="F9" s="50">
        <f t="shared" si="0"/>
        <v>44088</v>
      </c>
      <c r="M9" t="str">
        <v>E103</v>
      </c>
      <c r="N9" t="str">
        <v>Karthik</v>
      </c>
      <c r="O9" t="str">
        <v>Finance</v>
      </c>
      <c r="P9" s="68">
        <v>42000</v>
      </c>
      <c r="Q9" s="67">
        <v>43739</v>
      </c>
    </row>
    <row r="10" spans="1:17" x14ac:dyDescent="0.3">
      <c r="A10" s="63" t="s">
        <v>242</v>
      </c>
      <c r="B10" s="3" t="s">
        <v>282</v>
      </c>
      <c r="C10" s="3" t="s">
        <v>19</v>
      </c>
      <c r="D10" s="63">
        <v>45000</v>
      </c>
      <c r="E10" s="56">
        <v>43133</v>
      </c>
      <c r="F10" s="50">
        <f t="shared" si="0"/>
        <v>451361</v>
      </c>
      <c r="M10" t="str">
        <v>E107</v>
      </c>
      <c r="N10" t="str">
        <v>Rahul</v>
      </c>
      <c r="O10" t="str">
        <v>IT</v>
      </c>
      <c r="P10" s="68">
        <v>45000</v>
      </c>
      <c r="Q10" s="67">
        <v>43133</v>
      </c>
    </row>
    <row r="12" spans="1:17" x14ac:dyDescent="0.3">
      <c r="H12" s="76" t="s">
        <v>325</v>
      </c>
      <c r="I12" s="76"/>
      <c r="J12" s="76"/>
      <c r="K12" s="76"/>
      <c r="L12" s="76"/>
      <c r="M12" t="str" cm="1">
        <f t="array" ref="M12:Q18">_xlfn._xlws.SORT(A4:E10,4,-1)</f>
        <v>E107</v>
      </c>
      <c r="N12" t="str">
        <v>Rahul</v>
      </c>
      <c r="O12" t="str">
        <v>IT</v>
      </c>
      <c r="P12" s="68">
        <v>45000</v>
      </c>
      <c r="Q12" s="67">
        <v>43133</v>
      </c>
    </row>
    <row r="13" spans="1:17" x14ac:dyDescent="0.3">
      <c r="M13" t="str">
        <v>E103</v>
      </c>
      <c r="N13" t="str">
        <v>Karthik</v>
      </c>
      <c r="O13" t="str">
        <v>Finance</v>
      </c>
      <c r="P13" s="68">
        <v>42000</v>
      </c>
      <c r="Q13" s="67">
        <v>43739</v>
      </c>
    </row>
    <row r="14" spans="1:17" x14ac:dyDescent="0.3">
      <c r="M14" t="str">
        <v>E106</v>
      </c>
      <c r="N14" t="str">
        <v>Meena</v>
      </c>
      <c r="O14" t="str">
        <v>Finance</v>
      </c>
      <c r="P14" s="68">
        <v>39000</v>
      </c>
      <c r="Q14" s="67" t="str">
        <v>14/09/2020</v>
      </c>
    </row>
    <row r="15" spans="1:17" x14ac:dyDescent="0.3">
      <c r="M15" t="str">
        <v>E101</v>
      </c>
      <c r="N15" t="str">
        <v>Arun</v>
      </c>
      <c r="O15" t="str">
        <v>IT</v>
      </c>
      <c r="P15" s="68">
        <v>35000</v>
      </c>
      <c r="Q15" s="67">
        <v>44536</v>
      </c>
    </row>
    <row r="16" spans="1:17" x14ac:dyDescent="0.3">
      <c r="M16" t="str">
        <v>E104</v>
      </c>
      <c r="N16" t="str">
        <v>Divya</v>
      </c>
      <c r="O16" t="str">
        <v>IT</v>
      </c>
      <c r="P16" s="68">
        <v>30000</v>
      </c>
      <c r="Q16" s="67" t="str">
        <v>18/11/2022</v>
      </c>
    </row>
    <row r="17" spans="2:17" x14ac:dyDescent="0.3">
      <c r="M17" t="str">
        <v>E102</v>
      </c>
      <c r="N17" t="str">
        <v>Priya</v>
      </c>
      <c r="O17" t="str">
        <v>HR</v>
      </c>
      <c r="P17" s="68">
        <v>28000</v>
      </c>
      <c r="Q17" s="67" t="str">
        <v>25/03/2020</v>
      </c>
    </row>
    <row r="18" spans="2:17" x14ac:dyDescent="0.3">
      <c r="M18" t="str">
        <v>E105</v>
      </c>
      <c r="N18" t="str">
        <v>Sanjay</v>
      </c>
      <c r="O18" t="str">
        <v>HR</v>
      </c>
      <c r="P18" s="68">
        <v>26000</v>
      </c>
      <c r="Q18" s="67">
        <v>44323</v>
      </c>
    </row>
    <row r="19" spans="2:17" x14ac:dyDescent="0.3">
      <c r="E19" s="66" t="b">
        <f>ISNUMBER(F4)</f>
        <v>1</v>
      </c>
    </row>
    <row r="20" spans="2:17" x14ac:dyDescent="0.3">
      <c r="H20" s="76" t="s">
        <v>326</v>
      </c>
      <c r="I20" s="76"/>
      <c r="J20" s="76"/>
      <c r="K20" s="76"/>
      <c r="L20" s="76"/>
      <c r="M20" t="str" cm="1">
        <f t="array" ref="M20:Q26">_xlfn._xlws.SORT(A4:E10,2,1)</f>
        <v>E101</v>
      </c>
      <c r="N20" s="68" t="str">
        <v>Arun</v>
      </c>
      <c r="O20" t="str">
        <v>IT</v>
      </c>
      <c r="P20">
        <v>35000</v>
      </c>
      <c r="Q20" s="67">
        <v>44536</v>
      </c>
    </row>
    <row r="21" spans="2:17" x14ac:dyDescent="0.3">
      <c r="M21" t="str">
        <v>E104</v>
      </c>
      <c r="N21" s="68" t="str">
        <v>Divya</v>
      </c>
      <c r="O21" t="str">
        <v>IT</v>
      </c>
      <c r="P21">
        <v>30000</v>
      </c>
      <c r="Q21" s="67" t="str">
        <v>18/11/2022</v>
      </c>
    </row>
    <row r="22" spans="2:17" x14ac:dyDescent="0.3">
      <c r="M22" t="str">
        <v>E103</v>
      </c>
      <c r="N22" s="68" t="str">
        <v>Karthik</v>
      </c>
      <c r="O22" t="str">
        <v>Finance</v>
      </c>
      <c r="P22">
        <v>42000</v>
      </c>
      <c r="Q22" s="67">
        <v>43739</v>
      </c>
    </row>
    <row r="23" spans="2:17" x14ac:dyDescent="0.3">
      <c r="B23" t="str" cm="1">
        <f t="array" ref="B23:F29">_xlfn.SORTBY(A4:E10, F4:F10, 1)</f>
        <v>E102</v>
      </c>
      <c r="C23" t="str">
        <v>Priya</v>
      </c>
      <c r="D23" t="str">
        <v>HR</v>
      </c>
      <c r="E23" s="66">
        <v>28000</v>
      </c>
      <c r="F23" t="str">
        <v>25/03/2020</v>
      </c>
      <c r="M23" t="str">
        <v>E106</v>
      </c>
      <c r="N23" s="68" t="str">
        <v>Meena</v>
      </c>
      <c r="O23" t="str">
        <v>Finance</v>
      </c>
      <c r="P23">
        <v>39000</v>
      </c>
      <c r="Q23" s="67" t="str">
        <v>14/09/2020</v>
      </c>
    </row>
    <row r="24" spans="2:17" x14ac:dyDescent="0.3">
      <c r="B24" t="str">
        <v>E106</v>
      </c>
      <c r="C24" t="str">
        <v>Meena</v>
      </c>
      <c r="D24" t="str">
        <v>Finance</v>
      </c>
      <c r="E24" s="66">
        <v>39000</v>
      </c>
      <c r="F24" t="str">
        <v>14/09/2020</v>
      </c>
      <c r="M24" t="str">
        <v>E102</v>
      </c>
      <c r="N24" s="68" t="str">
        <v>Priya</v>
      </c>
      <c r="O24" t="str">
        <v>HR</v>
      </c>
      <c r="P24">
        <v>28000</v>
      </c>
      <c r="Q24" s="67" t="str">
        <v>25/03/2020</v>
      </c>
    </row>
    <row r="25" spans="2:17" x14ac:dyDescent="0.3">
      <c r="B25" t="str">
        <v>E104</v>
      </c>
      <c r="C25" t="str">
        <v>Divya</v>
      </c>
      <c r="D25" t="str">
        <v>IT</v>
      </c>
      <c r="E25" s="66">
        <v>30000</v>
      </c>
      <c r="F25" t="str">
        <v>18/11/2022</v>
      </c>
      <c r="M25" t="str">
        <v>E107</v>
      </c>
      <c r="N25" s="68" t="str">
        <v>Rahul</v>
      </c>
      <c r="O25" t="str">
        <v>IT</v>
      </c>
      <c r="P25">
        <v>45000</v>
      </c>
      <c r="Q25" s="67">
        <v>43133</v>
      </c>
    </row>
    <row r="26" spans="2:17" x14ac:dyDescent="0.3">
      <c r="B26" t="str">
        <v>E107</v>
      </c>
      <c r="C26" t="str">
        <v>Rahul</v>
      </c>
      <c r="D26" t="str">
        <v>IT</v>
      </c>
      <c r="E26" s="66">
        <v>45000</v>
      </c>
      <c r="F26">
        <v>43133</v>
      </c>
      <c r="M26" t="str">
        <v>E105</v>
      </c>
      <c r="N26" s="68" t="str">
        <v>Sanjay</v>
      </c>
      <c r="O26" t="str">
        <v>HR</v>
      </c>
      <c r="P26">
        <v>26000</v>
      </c>
      <c r="Q26" s="67">
        <v>44323</v>
      </c>
    </row>
    <row r="27" spans="2:17" x14ac:dyDescent="0.3">
      <c r="B27" t="str">
        <v>E103</v>
      </c>
      <c r="C27" t="str">
        <v>Karthik</v>
      </c>
      <c r="D27" t="str">
        <v>Finance</v>
      </c>
      <c r="E27" s="66">
        <v>42000</v>
      </c>
      <c r="F27">
        <v>43739</v>
      </c>
    </row>
    <row r="28" spans="2:17" x14ac:dyDescent="0.3">
      <c r="B28" t="str">
        <v>E105</v>
      </c>
      <c r="C28" t="str">
        <v>Sanjay</v>
      </c>
      <c r="D28" t="str">
        <v>HR</v>
      </c>
      <c r="E28" s="66">
        <v>26000</v>
      </c>
      <c r="F28">
        <v>44323</v>
      </c>
    </row>
    <row r="29" spans="2:17" ht="18" x14ac:dyDescent="0.35">
      <c r="B29" t="str">
        <v>E101</v>
      </c>
      <c r="C29" t="str">
        <v>Arun</v>
      </c>
      <c r="D29" t="str">
        <v>IT</v>
      </c>
      <c r="E29" s="66">
        <v>35000</v>
      </c>
      <c r="F29">
        <v>44536</v>
      </c>
      <c r="K29" s="75" t="s">
        <v>328</v>
      </c>
      <c r="L29" s="70"/>
      <c r="M29" s="70"/>
    </row>
    <row r="31" spans="2:17" x14ac:dyDescent="0.3">
      <c r="H31" s="76" t="s">
        <v>329</v>
      </c>
      <c r="I31" s="76"/>
      <c r="J31" s="76"/>
      <c r="K31" s="76"/>
      <c r="L31" s="76"/>
      <c r="M31" t="str" cm="1">
        <f t="array" ref="M31:Q37">_xlfn.SORTBY(A4:E10,D4:D10,-1)</f>
        <v>E107</v>
      </c>
      <c r="N31" t="str">
        <v>Rahul</v>
      </c>
      <c r="O31" t="str">
        <v>IT</v>
      </c>
      <c r="P31" s="68">
        <v>45000</v>
      </c>
      <c r="Q31" s="67">
        <v>43133</v>
      </c>
    </row>
    <row r="32" spans="2:17" x14ac:dyDescent="0.3">
      <c r="M32" t="str">
        <v>E103</v>
      </c>
      <c r="N32" t="str">
        <v>Karthik</v>
      </c>
      <c r="O32" t="str">
        <v>Finance</v>
      </c>
      <c r="P32" s="68">
        <v>42000</v>
      </c>
      <c r="Q32" s="67">
        <v>43739</v>
      </c>
    </row>
    <row r="33" spans="8:17" x14ac:dyDescent="0.3">
      <c r="M33" t="str">
        <v>E106</v>
      </c>
      <c r="N33" t="str">
        <v>Meena</v>
      </c>
      <c r="O33" t="str">
        <v>Finance</v>
      </c>
      <c r="P33" s="68">
        <v>39000</v>
      </c>
      <c r="Q33" s="67" t="str">
        <v>14/09/2020</v>
      </c>
    </row>
    <row r="34" spans="8:17" x14ac:dyDescent="0.3">
      <c r="M34" t="str">
        <v>E101</v>
      </c>
      <c r="N34" t="str">
        <v>Arun</v>
      </c>
      <c r="O34" t="str">
        <v>IT</v>
      </c>
      <c r="P34" s="68">
        <v>35000</v>
      </c>
      <c r="Q34" s="67">
        <v>44536</v>
      </c>
    </row>
    <row r="35" spans="8:17" x14ac:dyDescent="0.3">
      <c r="M35" t="str">
        <v>E104</v>
      </c>
      <c r="N35" t="str">
        <v>Divya</v>
      </c>
      <c r="O35" t="str">
        <v>IT</v>
      </c>
      <c r="P35" s="68">
        <v>30000</v>
      </c>
      <c r="Q35" s="67" t="str">
        <v>18/11/2022</v>
      </c>
    </row>
    <row r="36" spans="8:17" x14ac:dyDescent="0.3">
      <c r="M36" t="str">
        <v>E102</v>
      </c>
      <c r="N36" t="str">
        <v>Priya</v>
      </c>
      <c r="O36" t="str">
        <v>HR</v>
      </c>
      <c r="P36" s="68">
        <v>28000</v>
      </c>
      <c r="Q36" s="67" t="str">
        <v>25/03/2020</v>
      </c>
    </row>
    <row r="37" spans="8:17" x14ac:dyDescent="0.3">
      <c r="M37" t="str">
        <v>E105</v>
      </c>
      <c r="N37" t="str">
        <v>Sanjay</v>
      </c>
      <c r="O37" t="str">
        <v>HR</v>
      </c>
      <c r="P37" s="68">
        <v>26000</v>
      </c>
      <c r="Q37" s="67">
        <v>44323</v>
      </c>
    </row>
    <row r="40" spans="8:17" x14ac:dyDescent="0.3">
      <c r="H40" s="76" t="s">
        <v>330</v>
      </c>
      <c r="I40" s="76"/>
      <c r="J40" s="76"/>
      <c r="K40" s="76"/>
      <c r="L40" s="76"/>
      <c r="M40" t="str" cm="1">
        <f t="array" ref="M40:Q46">_xlfn.SORTBY(A4:E10,C4:C10,1)</f>
        <v>E103</v>
      </c>
      <c r="N40" s="68" t="str">
        <v>Karthik</v>
      </c>
      <c r="O40" t="str">
        <v>Finance</v>
      </c>
      <c r="P40">
        <v>42000</v>
      </c>
      <c r="Q40" s="67">
        <v>43739</v>
      </c>
    </row>
    <row r="41" spans="8:17" x14ac:dyDescent="0.3">
      <c r="M41" t="str">
        <v>E106</v>
      </c>
      <c r="N41" s="68" t="str">
        <v>Meena</v>
      </c>
      <c r="O41" t="str">
        <v>Finance</v>
      </c>
      <c r="P41">
        <v>39000</v>
      </c>
      <c r="Q41" s="67" t="str">
        <v>14/09/2020</v>
      </c>
    </row>
    <row r="42" spans="8:17" x14ac:dyDescent="0.3">
      <c r="M42" t="str">
        <v>E102</v>
      </c>
      <c r="N42" s="68" t="str">
        <v>Priya</v>
      </c>
      <c r="O42" t="str">
        <v>HR</v>
      </c>
      <c r="P42">
        <v>28000</v>
      </c>
      <c r="Q42" s="67" t="str">
        <v>25/03/2020</v>
      </c>
    </row>
    <row r="43" spans="8:17" x14ac:dyDescent="0.3">
      <c r="M43" t="str">
        <v>E105</v>
      </c>
      <c r="N43" s="68" t="str">
        <v>Sanjay</v>
      </c>
      <c r="O43" t="str">
        <v>HR</v>
      </c>
      <c r="P43">
        <v>26000</v>
      </c>
      <c r="Q43" s="67">
        <v>44323</v>
      </c>
    </row>
    <row r="44" spans="8:17" x14ac:dyDescent="0.3">
      <c r="M44" t="str">
        <v>E101</v>
      </c>
      <c r="N44" s="68" t="str">
        <v>Arun</v>
      </c>
      <c r="O44" t="str">
        <v>IT</v>
      </c>
      <c r="P44">
        <v>35000</v>
      </c>
      <c r="Q44" s="67">
        <v>44536</v>
      </c>
    </row>
    <row r="45" spans="8:17" x14ac:dyDescent="0.3">
      <c r="M45" t="str">
        <v>E104</v>
      </c>
      <c r="N45" s="68" t="str">
        <v>Divya</v>
      </c>
      <c r="O45" t="str">
        <v>IT</v>
      </c>
      <c r="P45">
        <v>30000</v>
      </c>
      <c r="Q45" s="67" t="str">
        <v>18/11/2022</v>
      </c>
    </row>
    <row r="46" spans="8:17" x14ac:dyDescent="0.3">
      <c r="M46" t="str">
        <v>E107</v>
      </c>
      <c r="N46" s="68" t="str">
        <v>Rahul</v>
      </c>
      <c r="O46" t="str">
        <v>IT</v>
      </c>
      <c r="P46">
        <v>45000</v>
      </c>
      <c r="Q46" s="67">
        <v>43133</v>
      </c>
    </row>
    <row r="48" spans="8:17" x14ac:dyDescent="0.3">
      <c r="H48" s="74"/>
      <c r="I48" s="74"/>
      <c r="J48" s="74"/>
      <c r="K48" s="74"/>
      <c r="L48" s="74"/>
      <c r="Q48" s="67"/>
    </row>
    <row r="49" spans="17:25" x14ac:dyDescent="0.3">
      <c r="Q49" s="67"/>
    </row>
    <row r="50" spans="17:25" x14ac:dyDescent="0.3">
      <c r="Q50" s="67"/>
    </row>
    <row r="51" spans="17:25" x14ac:dyDescent="0.3">
      <c r="Q51" s="67"/>
      <c r="W51" s="69"/>
    </row>
    <row r="52" spans="17:25" x14ac:dyDescent="0.3">
      <c r="Q52" s="67"/>
      <c r="W52" s="69"/>
    </row>
    <row r="53" spans="17:25" x14ac:dyDescent="0.3">
      <c r="Q53" s="67"/>
      <c r="W53" s="69"/>
    </row>
    <row r="54" spans="17:25" x14ac:dyDescent="0.3">
      <c r="Q54" s="67"/>
      <c r="W54" s="69"/>
    </row>
    <row r="57" spans="17:25" x14ac:dyDescent="0.3">
      <c r="Q57" s="67"/>
    </row>
    <row r="58" spans="17:25" x14ac:dyDescent="0.3">
      <c r="Q58" s="67"/>
      <c r="Y58" s="67">
        <f>E4</f>
        <v>44536</v>
      </c>
    </row>
    <row r="59" spans="17:25" x14ac:dyDescent="0.3">
      <c r="Q59" s="67"/>
    </row>
    <row r="60" spans="17:25" x14ac:dyDescent="0.3">
      <c r="Q60" s="67"/>
    </row>
    <row r="61" spans="17:25" x14ac:dyDescent="0.3">
      <c r="Q61" s="67"/>
    </row>
    <row r="62" spans="17:25" x14ac:dyDescent="0.3">
      <c r="Q62" s="67"/>
    </row>
    <row r="63" spans="17:25" x14ac:dyDescent="0.3">
      <c r="Q63" s="67"/>
    </row>
  </sheetData>
  <mergeCells count="8">
    <mergeCell ref="K2:M2"/>
    <mergeCell ref="K29:M29"/>
    <mergeCell ref="H31:L31"/>
    <mergeCell ref="H40:L40"/>
    <mergeCell ref="H48:L48"/>
    <mergeCell ref="H4:L4"/>
    <mergeCell ref="H12:L12"/>
    <mergeCell ref="H20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conditional statement</vt:lpstr>
      <vt:lpstr>data cleaning</vt:lpstr>
      <vt:lpstr>lookup</vt:lpstr>
      <vt:lpstr>TASK 1 LOOKUP</vt:lpstr>
      <vt:lpstr>TASK 2 LOOKUP</vt:lpstr>
      <vt:lpstr>TASK 3 LOOKUP</vt:lpstr>
      <vt:lpstr>TASK 3.1 </vt:lpstr>
      <vt:lpstr>TASK 4 </vt:lpstr>
      <vt:lpstr>TASK 4.1 REF DATA</vt:lpstr>
      <vt:lpstr>TASK 4 FINAL DATA </vt:lpstr>
      <vt:lpstr>TASK 5</vt:lpstr>
      <vt:lpstr>TASK 5.1</vt:lpstr>
      <vt:lpstr>index match</vt:lpstr>
      <vt:lpstr>SORT-SORTBY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Lakshmanan</dc:creator>
  <cp:lastModifiedBy>Janani Lakshmanan</cp:lastModifiedBy>
  <dcterms:created xsi:type="dcterms:W3CDTF">2026-01-09T15:24:48Z</dcterms:created>
  <dcterms:modified xsi:type="dcterms:W3CDTF">2026-02-03T06:21:56Z</dcterms:modified>
</cp:coreProperties>
</file>